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Pierrick\GitHub\Importation-Excel-Donnees-MyPeugeot--Versions-Betas\Fichiers XLSM - Versions Release\"/>
    </mc:Choice>
  </mc:AlternateContent>
  <xr:revisionPtr revIDLastSave="0" documentId="13_ncr:1_{635B92DE-2415-4522-AF62-18BAE0FEC0F3}" xr6:coauthVersionLast="45" xr6:coauthVersionMax="45" xr10:uidLastSave="{00000000-0000-0000-0000-000000000000}"/>
  <bookViews>
    <workbookView xWindow="38280" yWindow="405" windowWidth="29040" windowHeight="15495" tabRatio="744" activeTab="2" xr2:uid="{00000000-000D-0000-FFFF-FFFF00000000}"/>
  </bookViews>
  <sheets>
    <sheet name="Tuto-Import" sheetId="19" r:id="rId1"/>
    <sheet name="Tuto-Export" sheetId="20" r:id="rId2"/>
    <sheet name="Accueil" sheetId="17" r:id="rId3"/>
    <sheet name="Trajets" sheetId="12" r:id="rId4"/>
    <sheet name="Donnees-Recap" sheetId="21" r:id="rId5"/>
  </sheets>
  <functionGroups builtInGroupCount="19"/>
  <definedNames>
    <definedName name="_xlnm._FilterDatabase" localSheetId="3" hidden="1">Trajets!$A$2:$B$2</definedName>
  </definedNames>
  <calcPr calcId="191029"/>
  <pivotCaches>
    <pivotCache cacheId="0"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55" i="21" l="1"/>
  <c r="I51" i="21" s="1"/>
  <c r="F55" i="21"/>
  <c r="G52" i="21" s="1"/>
  <c r="F1" i="21"/>
  <c r="G4" i="21" l="1"/>
  <c r="G12" i="21"/>
  <c r="I9" i="21"/>
  <c r="I4" i="21"/>
  <c r="I14" i="21"/>
  <c r="I6" i="21"/>
  <c r="G22" i="21"/>
  <c r="G24" i="21"/>
  <c r="G6" i="21"/>
  <c r="G16" i="21"/>
  <c r="G5" i="21"/>
  <c r="G10" i="21"/>
  <c r="G18" i="21"/>
  <c r="G35" i="21"/>
  <c r="G53" i="21"/>
  <c r="G26" i="21"/>
  <c r="G8" i="21"/>
  <c r="G14" i="21"/>
  <c r="G20" i="21"/>
  <c r="G28" i="21"/>
  <c r="I22" i="21"/>
  <c r="I31" i="21"/>
  <c r="I52" i="21"/>
  <c r="I7" i="21"/>
  <c r="I15" i="21"/>
  <c r="I20" i="21"/>
  <c r="I23" i="21"/>
  <c r="I28" i="21"/>
  <c r="I32" i="21"/>
  <c r="I35" i="21"/>
  <c r="I40" i="21"/>
  <c r="I45" i="21"/>
  <c r="I17" i="21"/>
  <c r="I25" i="21"/>
  <c r="I39" i="21"/>
  <c r="I43" i="21"/>
  <c r="I12" i="21"/>
  <c r="I13" i="21"/>
  <c r="I21" i="21"/>
  <c r="I29" i="21"/>
  <c r="I53" i="21"/>
  <c r="I5" i="21"/>
  <c r="I10" i="21"/>
  <c r="I18" i="21"/>
  <c r="I26" i="21"/>
  <c r="I33" i="21"/>
  <c r="I36" i="21"/>
  <c r="I41" i="21"/>
  <c r="I46" i="21"/>
  <c r="I8" i="21"/>
  <c r="I11" i="21"/>
  <c r="I16" i="21"/>
  <c r="I19" i="21"/>
  <c r="I24" i="21"/>
  <c r="I27" i="21"/>
  <c r="I30" i="21"/>
  <c r="I34" i="21"/>
  <c r="I38" i="21"/>
  <c r="I42" i="21"/>
  <c r="I48" i="21"/>
  <c r="I49" i="21"/>
  <c r="G7" i="21"/>
  <c r="G9" i="21"/>
  <c r="G11" i="21"/>
  <c r="G13" i="21"/>
  <c r="G15" i="21"/>
  <c r="G17" i="21"/>
  <c r="G19" i="21"/>
  <c r="G21" i="21"/>
  <c r="G23" i="21"/>
  <c r="G25" i="21"/>
  <c r="G27" i="21"/>
  <c r="G29" i="21"/>
  <c r="G44" i="21"/>
  <c r="G31" i="21"/>
  <c r="G37" i="21"/>
  <c r="I37" i="21"/>
  <c r="I44" i="21"/>
  <c r="G39" i="21"/>
  <c r="G46" i="21"/>
  <c r="I50" i="21"/>
  <c r="G51" i="21"/>
  <c r="G33" i="21"/>
  <c r="G42" i="21"/>
  <c r="I47" i="21"/>
  <c r="G30" i="21"/>
  <c r="G32" i="21"/>
  <c r="G34" i="21"/>
  <c r="G36" i="21"/>
  <c r="G38" i="21"/>
  <c r="G40" i="21"/>
  <c r="G48" i="21"/>
  <c r="G41" i="21"/>
  <c r="G43" i="21"/>
  <c r="G45" i="21"/>
  <c r="G47" i="21"/>
  <c r="G49" i="21"/>
  <c r="G50" i="21"/>
  <c r="H1" i="17"/>
  <c r="I4" i="17"/>
</calcChain>
</file>

<file path=xl/sharedStrings.xml><?xml version="1.0" encoding="utf-8"?>
<sst xmlns="http://schemas.openxmlformats.org/spreadsheetml/2006/main" count="151" uniqueCount="142">
  <si>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</si>
  <si>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</si>
  <si>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</si>
  <si>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</si>
  <si>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</si>
  <si>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</si>
  <si>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</si>
  <si>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</si>
  <si>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</si>
  <si>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</si>
  <si>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</si>
  <si>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</si>
  <si>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</si>
  <si>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</si>
  <si>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</si>
  <si>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</si>
  <si>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</si>
  <si>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</si>
  <si>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</si>
  <si>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</si>
  <si>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</si>
  <si>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</si>
  <si>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</si>
  <si>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</si>
  <si>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</si>
  <si>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</si>
  <si>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</si>
  <si>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</si>
  <si>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</si>
  <si>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</si>
  <si>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</si>
  <si>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</si>
  <si>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</si>
  <si>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</si>
  <si>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</si>
  <si>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</si>
  <si>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</si>
  <si>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</si>
  <si>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</si>
  <si>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</si>
  <si>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</si>
  <si>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</si>
  <si>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</si>
  <si>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</si>
  <si>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</si>
  <si>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</si>
  <si>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</si>
  <si>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</si>
  <si>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</si>
  <si>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</si>
  <si>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</si>
  <si>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</si>
  <si>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</si>
  <si>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</si>
  <si>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</si>
  <si>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distance (km)</t>
  </si>
  <si>
    <t>Début</t>
  </si>
  <si>
    <t>Fin</t>
  </si>
  <si>
    <t>Niveau de carburant (%)</t>
  </si>
  <si>
    <t>Jour</t>
  </si>
  <si>
    <t>Mois</t>
  </si>
  <si>
    <t>Dist max / j</t>
  </si>
  <si>
    <t>Distance Mensuelle (km)</t>
  </si>
  <si>
    <t>Distance du jour (km)</t>
  </si>
  <si>
    <t>Nb. Trajets</t>
  </si>
  <si>
    <t>Total km :</t>
  </si>
  <si>
    <t>Durée (h:min)</t>
  </si>
  <si>
    <t>Autonomie restante (km)</t>
  </si>
  <si>
    <t>Chemin d'accès du fichier :</t>
  </si>
  <si>
    <t>VIN(s)</t>
  </si>
  <si>
    <t>Distance totale</t>
  </si>
  <si>
    <t>Distance trajet</t>
  </si>
  <si>
    <t>Conso L/100 km</t>
  </si>
  <si>
    <t>Conso L/trajet</t>
  </si>
  <si>
    <t>Adresse de Départ</t>
  </si>
  <si>
    <t>Latitude Départ</t>
  </si>
  <si>
    <t>Longitude Départ</t>
  </si>
  <si>
    <t>Latitude Arrivée</t>
  </si>
  <si>
    <t>Longitude Arrivée</t>
  </si>
  <si>
    <t>Adresse d'arrivée_x000D_</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</si>
  <si>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</si>
  <si>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</si>
  <si>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</si>
  <si>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</si>
  <si>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</si>
  <si>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</si>
  <si>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</si>
  <si>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</si>
  <si>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</si>
  <si>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</si>
  <si>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</si>
  <si>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Vous pouvez modifier ici la description des véhicules, mais ne changer par les VINs et leur nombre !</t>
  </si>
  <si>
    <t>Coordonnées</t>
  </si>
  <si>
    <t>Longitude :</t>
  </si>
  <si>
    <t>Latitude :</t>
  </si>
  <si>
    <t xml:space="preserve">Dernière adresse connue </t>
  </si>
  <si>
    <t>Ceci ne fonctionne que si UN seul VIN est sélectionné dans le tableau en F3</t>
  </si>
  <si>
    <t>Km début trajet</t>
  </si>
  <si>
    <t>Distance</t>
  </si>
  <si>
    <t>Adresse
destination</t>
  </si>
  <si>
    <t>Quality
Destination</t>
  </si>
  <si>
    <t>Jours avant maintenance</t>
  </si>
  <si>
    <t>Distance avant maintenance</t>
  </si>
  <si>
    <t>Maintenance faite</t>
  </si>
  <si>
    <t>Quality pos départ</t>
  </si>
  <si>
    <t>Quality pos arrivée</t>
  </si>
  <si>
    <t>Alertes actives</t>
  </si>
  <si>
    <t>Alertes résolues</t>
  </si>
  <si>
    <t>Dans ces colonnes figurera des données peu utile au quotidien, mais utilisées pour reconstruire le fichier JSON de données.</t>
  </si>
  <si>
    <t>Temps UNIX Début</t>
  </si>
  <si>
    <t>Temps UNIX Fin</t>
  </si>
  <si>
    <t>Marque</t>
  </si>
  <si>
    <t>startPosAltitude</t>
  </si>
  <si>
    <t>endPosAltitude</t>
  </si>
  <si>
    <t>destLongitude</t>
  </si>
  <si>
    <t>destLatitude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</si>
  <si>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</si>
  <si>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</si>
  <si>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</si>
  <si>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</si>
  <si>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</si>
  <si>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</si>
  <si>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</si>
  <si>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</si>
  <si>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</si>
  <si>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</si>
  <si>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(vide)</t>
  </si>
  <si>
    <t>Légende couleurs utilisées dans le détail des trajets</t>
  </si>
  <si>
    <t>Texte en vert/gras</t>
  </si>
  <si>
    <t>Signifie qu'un plein a été détecté</t>
  </si>
  <si>
    <t>Valeur reconstituée par programme suite à valeur manquante ou erronée</t>
  </si>
  <si>
    <t>Fond en orange</t>
  </si>
  <si>
    <t>Adresses recalculées par le programme</t>
  </si>
  <si>
    <t>Texte en rouge/gras</t>
  </si>
  <si>
    <t>Texte en bleu/gras</t>
  </si>
  <si>
    <t>Signifie que des valeurs sont manquantes ou son aberrantes</t>
  </si>
  <si>
    <r>
      <t xml:space="preserve">// </t>
    </r>
    <r>
      <rPr>
        <sz val="11"/>
        <rFont val="Calibri"/>
        <family val="2"/>
        <scheme val="minor"/>
      </rPr>
      <t>pour 
Conso L/100 km</t>
    </r>
  </si>
  <si>
    <t>Signifie que la valeur ne peut être calculée pour une consomation au 100km parce que la distance parcourue ou la consommation L est nulle ou trop faible.</t>
  </si>
  <si>
    <r>
      <t xml:space="preserve">// </t>
    </r>
    <r>
      <rPr>
        <sz val="11"/>
        <rFont val="Calibri"/>
        <family val="2"/>
        <scheme val="minor"/>
      </rPr>
      <t>pour le Niveau de carburant (%)</t>
    </r>
  </si>
  <si>
    <t>Signifie que la valeur récupérée vaut -1 ou est absente.</t>
  </si>
  <si>
    <t>Explications de certaines valeurs écrites</t>
  </si>
  <si>
    <t>v2.1.2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</si>
</sst>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0000"/>
    <numFmt numFmtId="166" formatCode="dd/mm/yy;@"/>
    <numFmt numFmtId="167" formatCode="dd/mm/yy\ \-\ hh:mm"/>
    <numFmt numFmtId="168" formatCode="0\ %"/>
    <numFmt numFmtId="169" formatCode="[h]:mm"/>
  </numFmts>
  <fonts count="44"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8"/>
      <name val="Calibri"/>
      <family val="2"/>
    </font>
    <font>
      <sz val="10"/>
      <name val="Arial"/>
      <family val="2"/>
    </font>
    <font>
      <b/>
      <sz val="10"/>
      <color rgb="FF000080"/>
      <name val="Calibri"/>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color rgb="FF000080"/>
      <name val="Calibri"/>
      <family val="2"/>
    </font>
    <font>
      <sz val="12"/>
      <color rgb="FF008000"/>
      <name val="Calibri"/>
      <family val="2"/>
    </font>
    <font>
      <sz val="10"/>
      <color rgb="FF000080"/>
      <name val="Calibri"/>
      <family val="2"/>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11"/>
      <color rgb="FF993300"/>
      <name val="Calibri"/>
      <family val="2"/>
    </font>
    <font>
      <sz val="12"/>
      <color rgb="FF333333"/>
      <name val="Calibri"/>
      <family val="2"/>
    </font>
    <font>
      <sz val="12"/>
      <color rgb="FF0000FF"/>
      <name val="Calibri"/>
      <family val="2"/>
    </font>
    <font>
      <sz val="11"/>
      <color rgb="FFFF0000"/>
      <name val="Calibri"/>
      <family val="2"/>
    </font>
    <font>
      <sz val="8"/>
      <name val="Calibri"/>
      <family val="2"/>
      <scheme val="minor"/>
    </font>
    <font>
      <sz val="8"/>
      <color theme="0"/>
      <name val="Calibri"/>
      <family val="2"/>
      <scheme val="minor"/>
    </font>
    <font>
      <sz val="11"/>
      <color rgb="FFFF9900"/>
      <name val="Calibri"/>
      <family val="2"/>
    </font>
    <font>
      <b/>
      <sz val="10"/>
      <color rgb="FF00B050"/>
      <name val="Calibri"/>
      <family val="2"/>
    </font>
    <font>
      <b/>
      <sz val="11"/>
      <color rgb="FFFF0000"/>
      <name val="Calibri"/>
      <family val="2"/>
      <scheme val="minor"/>
    </font>
    <font>
      <b/>
      <sz val="11"/>
      <color rgb="FF00B050"/>
      <name val="Calibri"/>
      <family val="2"/>
      <scheme val="minor"/>
    </font>
    <font>
      <b/>
      <u/>
      <sz val="11"/>
      <name val="Calibri"/>
      <family val="2"/>
      <scheme val="minor"/>
    </font>
    <font>
      <b/>
      <sz val="11"/>
      <color rgb="FF4100C2"/>
      <name val="Calibri"/>
      <family val="2"/>
      <scheme val="minor"/>
    </font>
  </fonts>
  <fills count="15">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rgb="FFFFC000"/>
        <bgColor indexed="64"/>
      </patternFill>
    </fill>
  </fills>
  <borders count="38">
    <border>
      <left/>
      <right/>
      <top/>
      <bottom/>
      <diagonal/>
    </border>
    <border>
      <left style="thin">
        <color indexed="64"/>
      </left>
      <right/>
      <top/>
      <bottom/>
      <diagonal/>
    </border>
    <border>
      <left/>
      <right style="dotted">
        <color auto="1"/>
      </right>
      <top/>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hair">
        <color auto="1"/>
      </left>
      <right/>
      <top style="hair">
        <color auto="1"/>
      </top>
      <bottom style="hair">
        <color auto="1"/>
      </bottom>
      <diagonal/>
    </border>
  </borders>
  <cellStyleXfs count="2">
    <xf numFmtId="0" fontId="0" fillId="0" borderId="0"/>
    <xf numFmtId="0" fontId="9" fillId="0" borderId="0"/>
  </cellStyleXfs>
  <cellXfs count="162">
    <xf numFmtId="0" fontId="0" fillId="0" borderId="0" xfId="0"/>
    <xf numFmtId="0" fontId="1" fillId="0" borderId="0" xfId="0" applyFont="1" applyAlignment="1">
      <alignment horizontal="center" vertical="center"/>
    </xf>
    <xf numFmtId="166" fontId="6" fillId="2" borderId="0" xfId="0" applyNumberFormat="1" applyFont="1" applyFill="1" applyAlignment="1">
      <alignment horizontal="center"/>
    </xf>
    <xf numFmtId="49" fontId="6" fillId="2" borderId="0" xfId="0" applyNumberFormat="1" applyFont="1" applyFill="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6" fillId="6" borderId="0" xfId="0" applyNumberFormat="1" applyFont="1" applyFill="1" applyAlignment="1">
      <alignment horizontal="right"/>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2" fontId="1" fillId="0" borderId="4" xfId="0" applyNumberFormat="1" applyFont="1" applyBorder="1" applyAlignment="1">
      <alignment horizontal="center" vertical="center"/>
    </xf>
    <xf numFmtId="164" fontId="1" fillId="0" borderId="5" xfId="0" applyNumberFormat="1" applyFont="1" applyBorder="1" applyAlignment="1">
      <alignment horizontal="center" vertical="center"/>
    </xf>
    <xf numFmtId="167" fontId="1" fillId="0" borderId="0" xfId="0" applyNumberFormat="1" applyFont="1" applyAlignment="1">
      <alignment horizontal="center" vertical="center"/>
    </xf>
    <xf numFmtId="0" fontId="1" fillId="0" borderId="7" xfId="0" applyFont="1" applyBorder="1" applyAlignment="1">
      <alignment horizontal="center" vertical="center"/>
    </xf>
    <xf numFmtId="168" fontId="1" fillId="0" borderId="0" xfId="0" applyNumberFormat="1" applyFont="1" applyAlignment="1">
      <alignment horizontal="center" vertical="center"/>
    </xf>
    <xf numFmtId="0" fontId="8" fillId="0" borderId="0" xfId="0" applyNumberFormat="1" applyFont="1" applyAlignment="1">
      <alignment horizontal="center" vertical="center"/>
    </xf>
    <xf numFmtId="0" fontId="4" fillId="2" borderId="0" xfId="0" applyFont="1" applyFill="1" applyAlignment="1">
      <alignment horizontal="center" vertical="center"/>
    </xf>
    <xf numFmtId="2" fontId="4" fillId="2" borderId="0" xfId="0" applyNumberFormat="1" applyFont="1" applyFill="1" applyAlignment="1">
      <alignment horizontal="left" vertical="center"/>
    </xf>
    <xf numFmtId="0" fontId="4" fillId="2" borderId="0" xfId="0" applyNumberFormat="1" applyFont="1" applyFill="1" applyAlignment="1">
      <alignment horizontal="left" vertical="center"/>
    </xf>
    <xf numFmtId="0" fontId="3" fillId="4" borderId="0" xfId="0" applyFont="1" applyFill="1" applyBorder="1" applyAlignment="1">
      <alignment vertical="center"/>
    </xf>
    <xf numFmtId="167" fontId="5" fillId="3" borderId="6" xfId="0" applyNumberFormat="1" applyFont="1" applyFill="1" applyBorder="1" applyAlignment="1">
      <alignment horizontal="center" vertical="center" wrapText="1"/>
    </xf>
    <xf numFmtId="0" fontId="5" fillId="3" borderId="6" xfId="0" applyNumberFormat="1" applyFont="1" applyFill="1" applyBorder="1" applyAlignment="1">
      <alignment horizontal="center" vertical="center" wrapText="1"/>
    </xf>
    <xf numFmtId="0" fontId="1" fillId="2" borderId="0" xfId="0" applyNumberFormat="1"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0" fontId="4" fillId="2" borderId="7" xfId="0" applyNumberFormat="1"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3" borderId="6" xfId="0" applyNumberFormat="1" applyFont="1" applyFill="1" applyBorder="1" applyAlignment="1">
      <alignment horizontal="center" vertical="center" wrapText="1"/>
    </xf>
    <xf numFmtId="165" fontId="5" fillId="3" borderId="6" xfId="0" applyNumberFormat="1" applyFont="1" applyFill="1" applyBorder="1" applyAlignment="1">
      <alignment horizontal="center" vertical="center" wrapText="1"/>
    </xf>
    <xf numFmtId="0" fontId="1" fillId="2" borderId="0" xfId="0" applyFont="1" applyFill="1" applyAlignment="1">
      <alignment horizontal="left" vertical="center"/>
    </xf>
    <xf numFmtId="0" fontId="1" fillId="2" borderId="0" xfId="0" applyNumberFormat="1" applyFont="1" applyFill="1" applyAlignment="1">
      <alignment horizontal="left" vertical="center"/>
    </xf>
    <xf numFmtId="0" fontId="9" fillId="9" borderId="0" xfId="1" applyFill="1"/>
    <xf numFmtId="0" fontId="11" fillId="8" borderId="14" xfId="1" applyNumberFormat="1" applyFont="1" applyFill="1" applyBorder="1" applyAlignment="1">
      <alignment horizontal="center" wrapText="1"/>
    </xf>
    <xf numFmtId="0" fontId="12" fillId="8" borderId="15" xfId="1" applyNumberFormat="1" applyFont="1" applyFill="1" applyBorder="1" applyAlignment="1">
      <alignment horizontal="center" vertical="top" wrapText="1"/>
    </xf>
    <xf numFmtId="0" fontId="14" fillId="9" borderId="0" xfId="1" applyFont="1" applyFill="1"/>
    <xf numFmtId="0" fontId="14" fillId="0" borderId="0" xfId="0" pivotButton="1" applyFont="1" applyAlignment="1">
      <alignment horizontal="center" vertical="center"/>
    </xf>
    <xf numFmtId="0" fontId="14" fillId="0" borderId="0" xfId="0" applyFont="1"/>
    <xf numFmtId="0" fontId="15" fillId="9" borderId="0" xfId="1" applyFont="1" applyFill="1" applyAlignment="1">
      <alignment vertical="center"/>
    </xf>
    <xf numFmtId="0" fontId="14" fillId="0" borderId="0" xfId="0" applyFont="1" applyAlignment="1">
      <alignment horizontal="center" vertical="center" wrapText="1"/>
    </xf>
    <xf numFmtId="0" fontId="14" fillId="0" borderId="0" xfId="0" applyFont="1" applyAlignment="1">
      <alignment horizontal="center" vertical="center"/>
    </xf>
    <xf numFmtId="0" fontId="13" fillId="10" borderId="12" xfId="0" applyFont="1" applyFill="1" applyBorder="1" applyAlignment="1">
      <alignment horizontal="center" vertical="center"/>
    </xf>
    <xf numFmtId="0" fontId="13" fillId="10" borderId="13" xfId="0" applyFont="1" applyFill="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1" xfId="0" applyFont="1" applyBorder="1" applyAlignment="1">
      <alignment horizontal="center" vertical="center"/>
    </xf>
    <xf numFmtId="0" fontId="14" fillId="0" borderId="7" xfId="0" applyFont="1" applyBorder="1" applyAlignment="1">
      <alignment horizontal="center" vertical="center"/>
    </xf>
    <xf numFmtId="0" fontId="14" fillId="9" borderId="1" xfId="1" applyFont="1" applyFill="1" applyBorder="1" applyAlignment="1">
      <alignment horizontal="center" vertical="center"/>
    </xf>
    <xf numFmtId="0" fontId="14" fillId="9" borderId="7" xfId="1" applyFont="1" applyFill="1" applyBorder="1" applyAlignment="1">
      <alignment horizontal="center" vertical="center"/>
    </xf>
    <xf numFmtId="0" fontId="14" fillId="9" borderId="10" xfId="1" applyFont="1" applyFill="1" applyBorder="1" applyAlignment="1">
      <alignment horizontal="center" vertical="center"/>
    </xf>
    <xf numFmtId="0" fontId="14" fillId="9" borderId="11" xfId="1" applyFont="1" applyFill="1" applyBorder="1" applyAlignment="1">
      <alignment horizontal="center" vertical="center"/>
    </xf>
    <xf numFmtId="0" fontId="14" fillId="9" borderId="0" xfId="1" applyFont="1" applyFill="1" applyAlignment="1">
      <alignment horizontal="center" vertical="center"/>
    </xf>
    <xf numFmtId="0" fontId="16" fillId="7" borderId="0" xfId="1" applyFont="1" applyFill="1" applyBorder="1" applyAlignment="1">
      <alignment horizontal="right" vertical="center"/>
    </xf>
    <xf numFmtId="0" fontId="16" fillId="7" borderId="0" xfId="1" applyFont="1" applyFill="1" applyBorder="1" applyAlignment="1">
      <alignment horizontal="right"/>
    </xf>
    <xf numFmtId="0" fontId="8" fillId="11" borderId="21" xfId="0" applyFont="1" applyFill="1" applyBorder="1" applyAlignment="1">
      <alignment horizontal="center" vertical="center" wrapText="1"/>
    </xf>
    <xf numFmtId="0" fontId="8" fillId="11" borderId="22" xfId="0" applyFont="1" applyFill="1" applyBorder="1" applyAlignment="1">
      <alignment horizontal="center" vertical="center" wrapText="1"/>
    </xf>
    <xf numFmtId="0" fontId="8" fillId="11" borderId="0" xfId="0" applyFont="1" applyFill="1" applyAlignment="1">
      <alignment horizontal="center" vertical="center"/>
    </xf>
    <xf numFmtId="0" fontId="13" fillId="10" borderId="23" xfId="0" applyFont="1" applyFill="1" applyBorder="1" applyAlignment="1">
      <alignment horizontal="center" vertical="center"/>
    </xf>
    <xf numFmtId="0" fontId="14" fillId="0" borderId="24" xfId="0" applyFont="1" applyBorder="1" applyAlignment="1">
      <alignment horizontal="center" vertical="center"/>
    </xf>
    <xf numFmtId="0" fontId="14" fillId="0" borderId="0" xfId="0" applyFont="1" applyBorder="1" applyAlignment="1">
      <alignment horizontal="center" vertical="center"/>
    </xf>
    <xf numFmtId="0" fontId="14" fillId="9" borderId="0" xfId="1" applyFont="1" applyFill="1" applyBorder="1" applyAlignment="1">
      <alignment horizontal="center" vertical="center"/>
    </xf>
    <xf numFmtId="0" fontId="14" fillId="9" borderId="20" xfId="1" applyFont="1" applyFill="1" applyBorder="1" applyAlignment="1">
      <alignment horizontal="center" vertical="center"/>
    </xf>
    <xf numFmtId="0" fontId="17" fillId="11" borderId="0" xfId="0" applyFont="1" applyFill="1" applyBorder="1" applyAlignment="1">
      <alignment horizontal="center" vertical="center"/>
    </xf>
    <xf numFmtId="0" fontId="18" fillId="12" borderId="25" xfId="0" applyFont="1" applyFill="1" applyBorder="1" applyAlignment="1">
      <alignment horizontal="center" vertical="center" wrapText="1"/>
    </xf>
    <xf numFmtId="0" fontId="17" fillId="11" borderId="0" xfId="0" applyFont="1" applyFill="1" applyBorder="1" applyAlignment="1">
      <alignment horizontal="center" vertical="center"/>
    </xf>
    <xf numFmtId="0" fontId="8" fillId="11" borderId="22" xfId="0" applyFont="1" applyFill="1" applyBorder="1" applyAlignment="1">
      <alignment horizontal="center" vertical="center"/>
    </xf>
    <xf numFmtId="0" fontId="5" fillId="3" borderId="6" xfId="0" applyNumberFormat="1" applyFont="1" applyFill="1" applyBorder="1" applyAlignment="1">
      <alignment horizontal="center" vertical="center" wrapText="1"/>
    </xf>
    <xf numFmtId="0" fontId="1" fillId="2" borderId="0" xfId="0" applyNumberFormat="1" applyFont="1" applyFill="1" applyAlignment="1">
      <alignment horizontal="center" vertical="center" wrapText="1"/>
    </xf>
    <xf numFmtId="0" fontId="1" fillId="9" borderId="0" xfId="0" applyFont="1" applyFill="1" applyBorder="1" applyAlignment="1">
      <alignment horizontal="center" vertical="center"/>
    </xf>
    <xf numFmtId="0" fontId="1" fillId="9" borderId="0" xfId="0" applyFont="1" applyFill="1" applyBorder="1" applyAlignment="1">
      <alignment horizontal="center" vertical="center" wrapText="1"/>
    </xf>
    <xf numFmtId="0" fontId="7" fillId="9" borderId="0" xfId="1" applyFont="1" applyFill="1"/>
    <xf numFmtId="0" fontId="23" fillId="9" borderId="0" xfId="1" applyFont="1" applyFill="1"/>
    <xf numFmtId="0" fontId="24" fillId="9" borderId="0" xfId="1" applyFont="1" applyFill="1"/>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32" xfId="1" applyNumberFormat="1" applyFont="1" applyFill="1" applyBorder="1"/>
    <xf numFmtId="0" fontId="22" fillId="9" borderId="32" xfId="1" applyFont="1" applyFill="1" applyBorder="1"/>
    <xf numFmtId="0" fontId="22" fillId="9" borderId="34" xfId="1" applyFont="1" applyFill="1" applyBorder="1"/>
    <xf numFmtId="49" fontId="31" fillId="7" borderId="0" xfId="1" applyNumberFormat="1" applyFont="1" applyFill="1" applyBorder="1" applyAlignment="1">
      <alignment horizontal="left" vertical="center"/>
    </xf>
    <xf numFmtId="1" fontId="14" fillId="13" borderId="0" xfId="0" applyNumberFormat="1" applyFont="1" applyFill="1" applyAlignment="1">
      <alignment horizontal="center" vertical="center"/>
    </xf>
    <xf numFmtId="1" fontId="14" fillId="13" borderId="0" xfId="0" applyNumberFormat="1" applyFont="1" applyFill="1" applyBorder="1" applyAlignment="1">
      <alignment horizontal="center" vertical="center"/>
    </xf>
    <xf numFmtId="164" fontId="14" fillId="13" borderId="0" xfId="0" applyNumberFormat="1" applyFont="1" applyFill="1" applyBorder="1" applyAlignment="1">
      <alignment horizontal="center" vertical="center"/>
    </xf>
    <xf numFmtId="2" fontId="14" fillId="13" borderId="0" xfId="0" applyNumberFormat="1" applyFont="1" applyFill="1" applyBorder="1" applyAlignment="1">
      <alignment horizontal="center" vertical="center"/>
    </xf>
    <xf numFmtId="2" fontId="9" fillId="13" borderId="0" xfId="0" applyNumberFormat="1" applyFont="1" applyFill="1" applyAlignment="1">
      <alignment horizontal="center"/>
    </xf>
    <xf numFmtId="0" fontId="13" fillId="13" borderId="0" xfId="0" applyNumberFormat="1" applyFont="1" applyFill="1" applyAlignment="1">
      <alignment horizontal="right" vertical="center"/>
    </xf>
    <xf numFmtId="0" fontId="14" fillId="13" borderId="0" xfId="0" applyNumberFormat="1" applyFont="1" applyFill="1" applyAlignment="1">
      <alignment horizontal="left" vertical="center"/>
    </xf>
    <xf numFmtId="0" fontId="5" fillId="3" borderId="6" xfId="0" applyNumberFormat="1" applyFont="1" applyFill="1" applyBorder="1" applyAlignment="1">
      <alignment horizontal="center" vertical="center" wrapText="1"/>
    </xf>
    <xf numFmtId="0" fontId="8" fillId="11" borderId="0" xfId="0" applyFont="1" applyFill="1" applyAlignment="1">
      <alignment horizontal="left" vertical="center"/>
    </xf>
    <xf numFmtId="49" fontId="6" fillId="5" borderId="0" xfId="0" applyNumberFormat="1" applyFont="1" applyFill="1" applyBorder="1" applyAlignment="1">
      <alignment horizontal="center"/>
    </xf>
    <xf numFmtId="49" fontId="6" fillId="6" borderId="0" xfId="0" applyNumberFormat="1" applyFont="1" applyFill="1" applyBorder="1" applyAlignment="1">
      <alignment horizontal="center"/>
    </xf>
    <xf numFmtId="49" fontId="7" fillId="7" borderId="0" xfId="0" applyNumberFormat="1" applyFont="1" applyFill="1" applyBorder="1" applyAlignment="1">
      <alignment horizontal="center"/>
    </xf>
    <xf numFmtId="49" fontId="6" fillId="6" borderId="0" xfId="0" applyNumberFormat="1" applyFont="1" applyFill="1" applyBorder="1" applyAlignment="1">
      <alignment horizontal="right"/>
    </xf>
    <xf numFmtId="49" fontId="7" fillId="0" borderId="0" xfId="0" applyNumberFormat="1" applyFont="1" applyBorder="1" applyAlignment="1">
      <alignment horizontal="center"/>
    </xf>
    <xf numFmtId="0" fontId="0" fillId="0" borderId="2" xfId="0" applyBorder="1"/>
    <xf numFmtId="164" fontId="6" fillId="2" borderId="7" xfId="0" applyNumberFormat="1" applyFont="1" applyFill="1" applyBorder="1" applyAlignment="1">
      <alignment horizontal="center"/>
    </xf>
    <xf numFmtId="0" fontId="0" fillId="0" borderId="7" xfId="0" applyBorder="1"/>
    <xf numFmtId="49" fontId="36" fillId="9" borderId="0" xfId="1" applyNumberFormat="1" applyFont="1" applyFill="1" applyAlignment="1">
      <alignment horizontal="center" vertical="center"/>
    </xf>
    <xf numFmtId="0" fontId="37" fillId="9" borderId="0" xfId="1" applyFont="1" applyFill="1" applyAlignment="1">
      <alignment horizontal="center" vertical="center"/>
    </xf>
    <xf numFmtId="49" fontId="1" fillId="0" borderId="0" xfId="0" applyNumberFormat="1" applyFont="1" applyFill="1" applyAlignment="1">
      <alignment horizontal="left" vertical="center"/>
    </xf>
    <xf numFmtId="49" fontId="1" fillId="0" borderId="4" xfId="0" applyNumberFormat="1" applyFont="1" applyFill="1" applyBorder="1" applyAlignment="1">
      <alignment horizontal="left" vertical="center"/>
    </xf>
    <xf numFmtId="49" fontId="1" fillId="0" borderId="0" xfId="0" applyNumberFormat="1" applyFont="1" applyFill="1" applyBorder="1" applyAlignment="1">
      <alignment horizontal="left" vertical="center"/>
    </xf>
    <xf numFmtId="49" fontId="1" fillId="0" borderId="5" xfId="0" applyNumberFormat="1" applyFont="1" applyFill="1" applyBorder="1" applyAlignment="1">
      <alignment horizontal="left" vertical="center"/>
    </xf>
    <xf numFmtId="0" fontId="39" fillId="0" borderId="0" xfId="0" applyFont="1" applyAlignment="1">
      <alignment horizontal="center" vertical="center"/>
    </xf>
    <xf numFmtId="0" fontId="39" fillId="9" borderId="0" xfId="0" applyFont="1" applyFill="1" applyBorder="1" applyAlignment="1">
      <alignment horizontal="center" vertical="center"/>
    </xf>
    <xf numFmtId="169" fontId="1" fillId="0" borderId="3" xfId="0" applyNumberFormat="1" applyFont="1" applyBorder="1" applyAlignment="1">
      <alignment horizontal="center" vertical="center"/>
    </xf>
    <xf numFmtId="0" fontId="14" fillId="9" borderId="0" xfId="1" applyFont="1" applyFill="1" applyAlignment="1">
      <alignment horizontal="left" vertical="center" wrapText="1"/>
    </xf>
    <xf numFmtId="0" fontId="14" fillId="9" borderId="0" xfId="1" applyFont="1" applyFill="1" applyAlignment="1">
      <alignment horizontal="center" vertical="center" wrapText="1"/>
    </xf>
    <xf numFmtId="0" fontId="13" fillId="9" borderId="37" xfId="1" applyFont="1" applyFill="1" applyBorder="1" applyAlignment="1">
      <alignment horizontal="center" vertical="center" wrapText="1"/>
    </xf>
    <xf numFmtId="0" fontId="41" fillId="9" borderId="26" xfId="1" applyFont="1" applyFill="1" applyBorder="1" applyAlignment="1">
      <alignment horizontal="center" vertical="center"/>
    </xf>
    <xf numFmtId="0" fontId="40" fillId="9" borderId="26" xfId="1" applyFont="1" applyFill="1" applyBorder="1" applyAlignment="1">
      <alignment horizontal="center" vertical="center"/>
    </xf>
    <xf numFmtId="0" fontId="14" fillId="9" borderId="27" xfId="1" applyFont="1" applyFill="1" applyBorder="1" applyAlignment="1">
      <alignment horizontal="left" vertical="center"/>
    </xf>
    <xf numFmtId="0" fontId="14" fillId="9" borderId="27" xfId="1" applyFont="1" applyFill="1" applyBorder="1" applyAlignment="1">
      <alignment vertical="center"/>
    </xf>
    <xf numFmtId="0" fontId="14" fillId="9" borderId="27" xfId="1" applyFont="1" applyFill="1" applyBorder="1"/>
    <xf numFmtId="0" fontId="14" fillId="9" borderId="28" xfId="1" applyFont="1" applyFill="1" applyBorder="1"/>
    <xf numFmtId="0" fontId="43" fillId="9" borderId="26" xfId="1" applyFont="1" applyFill="1" applyBorder="1" applyAlignment="1">
      <alignment horizontal="center" vertical="center"/>
    </xf>
    <xf numFmtId="0" fontId="14" fillId="14" borderId="26" xfId="1" applyFont="1" applyFill="1" applyBorder="1" applyAlignment="1">
      <alignment horizontal="center" vertical="center"/>
    </xf>
    <xf numFmtId="49" fontId="28" fillId="9" borderId="29" xfId="1" applyNumberFormat="1" applyFont="1" applyFill="1" applyBorder="1" applyAlignment="1">
      <alignment horizontal="center" vertical="top"/>
    </xf>
    <xf numFmtId="49" fontId="28" fillId="9" borderId="30" xfId="1" applyNumberFormat="1" applyFont="1" applyFill="1" applyBorder="1" applyAlignment="1">
      <alignment horizontal="center" vertical="top"/>
    </xf>
    <xf numFmtId="49" fontId="28" fillId="9" borderId="31" xfId="1" applyNumberFormat="1" applyFont="1" applyFill="1" applyBorder="1" applyAlignment="1">
      <alignment horizontal="center" vertical="top"/>
    </xf>
    <xf numFmtId="49" fontId="28" fillId="9" borderId="32" xfId="1" applyNumberFormat="1" applyFont="1" applyFill="1" applyBorder="1" applyAlignment="1">
      <alignment horizontal="center" vertical="top"/>
    </xf>
    <xf numFmtId="49" fontId="28" fillId="9" borderId="0" xfId="1" applyNumberFormat="1" applyFont="1" applyFill="1" applyBorder="1" applyAlignment="1">
      <alignment horizontal="center" vertical="top"/>
    </xf>
    <xf numFmtId="49" fontId="28" fillId="9" borderId="33" xfId="1" applyNumberFormat="1" applyFont="1" applyFill="1" applyBorder="1" applyAlignment="1">
      <alignment horizontal="center" vertical="top"/>
    </xf>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0" xfId="1" applyNumberFormat="1" applyFont="1" applyFill="1" applyBorder="1" applyAlignment="1">
      <alignment horizontal="justify" vertical="top" wrapText="1"/>
    </xf>
    <xf numFmtId="49" fontId="25" fillId="9" borderId="33" xfId="1" applyNumberFormat="1" applyFont="1" applyFill="1" applyBorder="1" applyAlignment="1">
      <alignment horizontal="justify" vertical="top" wrapText="1"/>
    </xf>
    <xf numFmtId="49" fontId="25" fillId="9" borderId="35" xfId="1" applyNumberFormat="1" applyFont="1" applyFill="1" applyBorder="1" applyAlignment="1">
      <alignment horizontal="justify" vertical="top" wrapText="1"/>
    </xf>
    <xf numFmtId="49" fontId="25" fillId="9" borderId="36" xfId="1" applyNumberFormat="1" applyFont="1" applyFill="1" applyBorder="1" applyAlignment="1">
      <alignment horizontal="justify" vertical="top" wrapText="1"/>
    </xf>
    <xf numFmtId="49" fontId="25" fillId="9" borderId="0" xfId="1" applyNumberFormat="1" applyFont="1" applyFill="1" applyBorder="1" applyAlignment="1">
      <alignment horizontal="justify" vertical="center" wrapText="1"/>
    </xf>
    <xf numFmtId="49" fontId="25" fillId="9" borderId="33" xfId="1" applyNumberFormat="1" applyFont="1" applyFill="1" applyBorder="1" applyAlignment="1">
      <alignment horizontal="justify" vertical="center" wrapText="1"/>
    </xf>
    <xf numFmtId="49" fontId="25" fillId="9" borderId="32" xfId="1" applyNumberFormat="1" applyFont="1" applyFill="1" applyBorder="1" applyAlignment="1">
      <alignment horizontal="justify" vertical="center" wrapText="1"/>
    </xf>
    <xf numFmtId="49" fontId="26" fillId="9" borderId="0" xfId="1" applyNumberFormat="1" applyFont="1" applyFill="1" applyBorder="1" applyAlignment="1">
      <alignment horizontal="justify" vertical="center" wrapText="1"/>
    </xf>
    <xf numFmtId="49" fontId="26" fillId="9" borderId="33" xfId="1" applyNumberFormat="1" applyFont="1" applyFill="1" applyBorder="1" applyAlignment="1">
      <alignment horizontal="justify" vertical="center" wrapText="1"/>
    </xf>
    <xf numFmtId="49" fontId="29" fillId="9" borderId="26" xfId="1" applyNumberFormat="1" applyFont="1" applyFill="1" applyBorder="1" applyAlignment="1">
      <alignment horizontal="center" vertical="center"/>
    </xf>
    <xf numFmtId="49" fontId="29" fillId="9" borderId="27" xfId="1" applyNumberFormat="1" applyFont="1" applyFill="1" applyBorder="1" applyAlignment="1">
      <alignment horizontal="center" vertical="center"/>
    </xf>
    <xf numFmtId="49" fontId="29" fillId="9" borderId="28" xfId="1" applyNumberFormat="1" applyFont="1" applyFill="1" applyBorder="1" applyAlignment="1">
      <alignment horizontal="center" vertical="center"/>
    </xf>
    <xf numFmtId="0" fontId="13" fillId="6" borderId="19" xfId="1" applyFont="1" applyFill="1" applyBorder="1" applyAlignment="1">
      <alignment horizontal="center" vertical="center"/>
    </xf>
    <xf numFmtId="0" fontId="13" fillId="6" borderId="16" xfId="1" applyFont="1" applyFill="1" applyBorder="1" applyAlignment="1">
      <alignment horizontal="center" vertical="center"/>
    </xf>
    <xf numFmtId="49" fontId="7" fillId="7" borderId="0" xfId="0" applyNumberFormat="1" applyFont="1" applyFill="1" applyBorder="1" applyAlignment="1">
      <alignment horizontal="center" vertical="center" wrapText="1"/>
    </xf>
    <xf numFmtId="49" fontId="7" fillId="7" borderId="17" xfId="0" applyNumberFormat="1" applyFont="1" applyFill="1" applyBorder="1" applyAlignment="1">
      <alignment horizontal="center" vertical="center" wrapText="1"/>
    </xf>
    <xf numFmtId="0" fontId="13" fillId="6" borderId="16" xfId="0" applyFont="1" applyFill="1" applyBorder="1" applyAlignment="1">
      <alignment horizontal="center" vertical="center"/>
    </xf>
    <xf numFmtId="0" fontId="13" fillId="6" borderId="18" xfId="0" applyFont="1" applyFill="1" applyBorder="1" applyAlignment="1">
      <alignment horizontal="center" vertical="center"/>
    </xf>
    <xf numFmtId="0" fontId="15" fillId="9" borderId="0" xfId="1" applyFont="1" applyFill="1" applyAlignment="1">
      <alignment horizontal="center" vertical="center" wrapText="1"/>
    </xf>
    <xf numFmtId="0" fontId="15" fillId="9" borderId="20" xfId="1" applyFont="1" applyFill="1" applyBorder="1" applyAlignment="1">
      <alignment horizontal="center" vertical="center" wrapText="1"/>
    </xf>
    <xf numFmtId="0" fontId="14" fillId="9" borderId="27" xfId="1" applyFont="1" applyFill="1" applyBorder="1" applyAlignment="1">
      <alignment horizontal="left" vertical="center"/>
    </xf>
    <xf numFmtId="0" fontId="14" fillId="9" borderId="28" xfId="1" applyFont="1" applyFill="1" applyBorder="1" applyAlignment="1">
      <alignment horizontal="left" vertical="center"/>
    </xf>
    <xf numFmtId="0" fontId="14" fillId="9" borderId="27" xfId="1" applyFont="1" applyFill="1" applyBorder="1" applyAlignment="1">
      <alignment horizontal="center" vertical="center" wrapText="1"/>
    </xf>
    <xf numFmtId="0" fontId="14" fillId="9" borderId="28" xfId="1" applyFont="1" applyFill="1" applyBorder="1" applyAlignment="1">
      <alignment horizontal="center" vertical="center" wrapText="1"/>
    </xf>
    <xf numFmtId="0" fontId="13" fillId="9" borderId="37" xfId="1" applyFont="1" applyFill="1" applyBorder="1" applyAlignment="1">
      <alignment horizontal="center" vertical="center" wrapText="1"/>
    </xf>
    <xf numFmtId="0" fontId="14" fillId="9" borderId="37" xfId="1" applyFont="1" applyFill="1" applyBorder="1" applyAlignment="1">
      <alignment horizontal="center" vertical="center" wrapText="1"/>
    </xf>
    <xf numFmtId="0" fontId="42" fillId="9" borderId="0" xfId="1" applyFont="1" applyFill="1" applyAlignment="1">
      <alignment horizontal="left" vertical="center"/>
    </xf>
    <xf numFmtId="0" fontId="17" fillId="11" borderId="10" xfId="0" applyFont="1" applyFill="1" applyBorder="1" applyAlignment="1">
      <alignment horizontal="center" vertical="center"/>
    </xf>
    <xf numFmtId="0" fontId="17" fillId="11" borderId="20" xfId="0" applyFont="1" applyFill="1" applyBorder="1" applyAlignment="1">
      <alignment horizontal="center" vertical="center"/>
    </xf>
    <xf numFmtId="0" fontId="17" fillId="11" borderId="20" xfId="0" applyFont="1" applyFill="1" applyBorder="1" applyAlignment="1">
      <alignment horizontal="left" vertical="center"/>
    </xf>
    <xf numFmtId="0" fontId="17" fillId="11" borderId="0" xfId="0" applyFont="1" applyFill="1" applyBorder="1" applyAlignment="1">
      <alignment horizontal="center" vertical="center"/>
    </xf>
  </cellXfs>
  <cellStyles count="2">
    <cellStyle name="Normal" xfId="0" builtinId="0"/>
    <cellStyle name="Normal 2" xfId="1" xr:uid="{00000000-0005-0000-0000-000001000000}"/>
  </cellStyles>
  <dxfs count="21">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colors>
    <mruColors>
      <color rgb="FF4100C2"/>
      <color rgb="FF00B05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85725</xdr:rowOff>
        </xdr:from>
        <xdr:to>
          <xdr:col>1</xdr:col>
          <xdr:colOff>466725</xdr:colOff>
          <xdr:row>3</xdr:row>
          <xdr:rowOff>95250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466725</xdr:colOff>
          <xdr:row>7</xdr:row>
          <xdr:rowOff>133350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2</xdr:row>
          <xdr:rowOff>209550</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66675</xdr:rowOff>
    </xdr:from>
    <xdr:to>
      <xdr:col>2</xdr:col>
      <xdr:colOff>123825</xdr:colOff>
      <xdr:row>21</xdr:row>
      <xdr:rowOff>47625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57250"/>
          <a:ext cx="1781175" cy="345757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133350</xdr:rowOff>
        </xdr:from>
        <xdr:to>
          <xdr:col>2</xdr:col>
          <xdr:colOff>38100</xdr:colOff>
          <xdr:row>6</xdr:row>
          <xdr:rowOff>161925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2</xdr:col>
      <xdr:colOff>219075</xdr:colOff>
      <xdr:row>10</xdr:row>
      <xdr:rowOff>47625</xdr:rowOff>
    </xdr:from>
    <xdr:to>
      <xdr:col>5</xdr:col>
      <xdr:colOff>285750</xdr:colOff>
      <xdr:row>18</xdr:row>
      <xdr:rowOff>0</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1914525" y="2181225"/>
          <a:ext cx="1781175"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7</xdr:row>
          <xdr:rowOff>47625</xdr:rowOff>
        </xdr:from>
        <xdr:to>
          <xdr:col>2</xdr:col>
          <xdr:colOff>38100</xdr:colOff>
          <xdr:row>10</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10</xdr:row>
          <xdr:rowOff>161925</xdr:rowOff>
        </xdr:from>
        <xdr:to>
          <xdr:col>2</xdr:col>
          <xdr:colOff>38100</xdr:colOff>
          <xdr:row>13</xdr:row>
          <xdr:rowOff>200025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10</xdr:row>
          <xdr:rowOff>142875</xdr:rowOff>
        </xdr:from>
        <xdr:to>
          <xdr:col>5</xdr:col>
          <xdr:colOff>209550</xdr:colOff>
          <xdr:row>13</xdr:row>
          <xdr:rowOff>190500</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14</xdr:row>
          <xdr:rowOff>47625</xdr:rowOff>
        </xdr:from>
        <xdr:to>
          <xdr:col>2</xdr:col>
          <xdr:colOff>38100</xdr:colOff>
          <xdr:row>17</xdr:row>
          <xdr:rowOff>104775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14</xdr:row>
          <xdr:rowOff>47625</xdr:rowOff>
        </xdr:from>
        <xdr:to>
          <xdr:col>5</xdr:col>
          <xdr:colOff>209550</xdr:colOff>
          <xdr:row>17</xdr:row>
          <xdr:rowOff>95250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17</xdr:row>
          <xdr:rowOff>152400</xdr:rowOff>
        </xdr:from>
        <xdr:to>
          <xdr:col>2</xdr:col>
          <xdr:colOff>38100</xdr:colOff>
          <xdr:row>21</xdr:row>
          <xdr:rowOff>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200-000008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a:t>
              </a:r>
              <a:r>
                <a:rPr lang="fr-FR" sz="1100" b="0" i="0" u="none" strike="noStrike" baseline="0">
                  <a:solidFill>
                    <a:srgbClr val="FF9900"/>
                  </a:solidFill>
                  <a:latin typeface="Calibri"/>
                  <a:cs typeface="Calibri"/>
                </a:rPr>
                <a:t>Reconstituer les adresses manquantes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390525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666750</xdr:colOff>
          <xdr:row>0</xdr:row>
          <xdr:rowOff>28575</xdr:rowOff>
        </xdr:from>
        <xdr:to>
          <xdr:col>16</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rrick -" refreshedDate="43998.436747916669" missingItemsLimit="0" createdVersion="6" refreshedVersion="6" minRefreshableVersion="3" recordCount="7" xr:uid="{00000000-000A-0000-FFFF-FFFF01000000}">
  <cacheSource type="worksheet">
    <worksheetSource ref="A2:Q1048576" sheet="Trajets"/>
  </cacheSource>
  <cacheFields count="17">
    <cacheField name="VIN(s)" numFmtId="0">
      <sharedItems containsNonDate="0" containsString="0" containsBlank="1" count="1">
        <m/>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min)" numFmtId="169">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Latitude Départ" numFmtId="49">
      <sharedItems containsNonDate="0" containsString="0" containsBlank="1"/>
    </cacheField>
    <cacheField name="Longitude Départ" numFmtId="49">
      <sharedItems containsNonDate="0" containsString="0" containsBlank="1"/>
    </cacheField>
    <cacheField name="Adresse de Départ" numFmtId="49">
      <sharedItems containsNonDate="0" containsString="0" containsBlank="1"/>
    </cacheField>
    <cacheField name="Latitude Arrivée" numFmtId="49">
      <sharedItems containsNonDate="0" containsString="0" containsBlank="1"/>
    </cacheField>
    <cacheField name="Longitude Arrivée" numFmtId="49">
      <sharedItems containsNonDate="0" containsString="0" containsBlank="1"/>
    </cacheField>
    <cacheField name="Adresse d'arrivée_x000d_" numFmtId="49">
      <sharedItems containsNonDate="0" containsString="0" containsBlank="1"/>
    </cacheField>
    <cacheField name="Niveau de carburant (%)"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0"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H4" firstHeaderRow="0" firstDataRow="1" firstDataCol="0" rowPageCount="1" colPageCount="1"/>
  <pivotFields count="17">
    <pivotField axis="axisPage" multipleItemSelectionAllowed="1" showAll="0">
      <items count="2">
        <item x="0"/>
        <item t="default"/>
      </items>
    </pivotField>
    <pivotField dataField="1"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20">
      <pivotArea outline="0" collapsedLevelsAreSubtotals="1" fieldPosition="0">
        <references count="1">
          <reference field="4294967294" count="3" selected="0">
            <x v="1"/>
            <x v="2"/>
            <x v="3"/>
          </reference>
        </references>
      </pivotArea>
    </format>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1">
            <x v="0"/>
          </reference>
        </references>
      </pivotArea>
    </format>
    <format dxfId="17">
      <pivotArea dataOnly="0" labelOnly="1" outline="0" fieldPosition="0">
        <references count="1">
          <reference field="4294967294" count="4">
            <x v="0"/>
            <x v="1"/>
            <x v="2"/>
            <x v="3"/>
          </reference>
        </references>
      </pivotArea>
    </format>
    <format dxfId="16">
      <pivotArea dataOnly="0" labelOnly="1" outline="0" fieldPosition="0">
        <references count="1">
          <reference field="4294967294" count="1">
            <x v="1"/>
          </reference>
        </references>
      </pivotArea>
    </format>
    <format dxfId="15">
      <pivotArea outline="0" collapsedLevelsAreSubtotals="1" fieldPosition="0"/>
    </format>
    <format dxfId="14">
      <pivotArea outline="0" collapsedLevelsAreSubtotals="1" fieldPosition="0"/>
    </format>
    <format dxfId="13">
      <pivotArea outline="0" collapsedLevelsAreSubtotals="1" fieldPosition="0">
        <references count="1">
          <reference field="4294967294" count="1" selected="0">
            <x v="1"/>
          </reference>
        </references>
      </pivotArea>
    </format>
    <format dxfId="12">
      <pivotArea outline="0" collapsedLevelsAreSubtotals="1" fieldPosition="0">
        <references count="1">
          <reference field="4294967294" count="3" selected="0">
            <x v="0"/>
            <x v="2"/>
            <x v="3"/>
          </reference>
        </references>
      </pivotArea>
    </format>
    <format dxfId="11">
      <pivotArea outline="0" collapsedLevelsAreSubtotals="1" fieldPosition="0">
        <references count="1">
          <reference field="4294967294" count="1" selected="0">
            <x v="2"/>
          </reference>
        </references>
      </pivotArea>
    </format>
    <format dxfId="10">
      <pivotArea outline="0" collapsedLevelsAreSubtotals="1" fieldPosition="0">
        <references count="1">
          <reference field="4294967294" count="1" selected="0">
            <x v="0"/>
          </reference>
        </references>
      </pivotArea>
    </format>
    <format dxfId="9">
      <pivotArea field="0" type="button" dataOnly="0" labelOnly="1" outline="0" axis="axisPage" fieldPosition="0"/>
    </format>
    <format dxfId="8">
      <pivotArea field="0" type="button" dataOnly="0" labelOnly="1" outline="0" axis="axisPage" fieldPosition="0"/>
    </format>
    <format dxfId="7">
      <pivotArea type="all" dataOnly="0" outline="0" fieldPosition="0"/>
    </format>
    <format dxfId="6">
      <pivotArea outline="0" collapsedLevelsAreSubtotals="1" fieldPosition="0"/>
    </format>
    <format dxfId="5">
      <pivotArea dataOnly="0" labelOnly="1" outline="0" fieldPosition="0">
        <references count="1">
          <reference field="4294967294" count="4">
            <x v="0"/>
            <x v="1"/>
            <x v="2"/>
            <x v="3"/>
          </reference>
        </references>
      </pivotArea>
    </format>
    <format dxfId="4">
      <pivotArea type="all" dataOnly="0" outline="0" fieldPosition="0"/>
    </format>
    <format dxfId="3">
      <pivotArea outline="0" collapsedLevelsAreSubtotals="1" fieldPosition="0"/>
    </format>
    <format dxfId="2">
      <pivotArea dataOnly="0" labelOnly="1" outline="0" fieldPosition="0">
        <references count="1">
          <reference field="4294967294" count="4">
            <x v="0"/>
            <x v="1"/>
            <x v="2"/>
            <x v="3"/>
          </reference>
        </references>
      </pivotArea>
    </format>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51" sqref="A51"/>
    </sheetView>
  </sheetViews>
  <sheetFormatPr baseColWidth="10" defaultRowHeight="12.75" x14ac:dyDescent="0.2"/>
  <cols>
    <col min="1" max="16384" width="11.42578125" style="37"/>
  </cols>
  <sheetData>
    <row r="11" spans="1:1" ht="14.25" x14ac:dyDescent="0.25">
      <c r="A11" s="7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85725</xdr:rowOff>
                  </from>
                  <to>
                    <xdr:col>1</xdr:col>
                    <xdr:colOff>466725</xdr:colOff>
                    <xdr:row>3</xdr:row>
                    <xdr:rowOff>95250</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466725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RowHeight="12.75" x14ac:dyDescent="0.2"/>
  <cols>
    <col min="1" max="16384" width="11.42578125" style="75"/>
  </cols>
  <sheetData>
    <row r="1" spans="3:12" ht="18.75" customHeight="1" x14ac:dyDescent="0.2">
      <c r="C1" s="122" t="s">
        <v>116</v>
      </c>
      <c r="D1" s="123"/>
      <c r="E1" s="123"/>
      <c r="F1" s="123"/>
      <c r="G1" s="123"/>
      <c r="H1" s="123"/>
      <c r="I1" s="123"/>
      <c r="J1" s="123"/>
      <c r="K1" s="123"/>
      <c r="L1" s="124"/>
    </row>
    <row r="2" spans="3:12" ht="18.75" customHeight="1" x14ac:dyDescent="0.2">
      <c r="C2" s="125"/>
      <c r="D2" s="126"/>
      <c r="E2" s="126"/>
      <c r="F2" s="126"/>
      <c r="G2" s="126"/>
      <c r="H2" s="126"/>
      <c r="I2" s="126"/>
      <c r="J2" s="126"/>
      <c r="K2" s="126"/>
      <c r="L2" s="127"/>
    </row>
    <row r="3" spans="3:12" ht="18.75" customHeight="1" x14ac:dyDescent="0.2">
      <c r="C3" s="125"/>
      <c r="D3" s="126"/>
      <c r="E3" s="126"/>
      <c r="F3" s="126"/>
      <c r="G3" s="126"/>
      <c r="H3" s="126"/>
      <c r="I3" s="126"/>
      <c r="J3" s="126"/>
      <c r="K3" s="126"/>
      <c r="L3" s="127"/>
    </row>
    <row r="4" spans="3:12" ht="18.75" customHeight="1" x14ac:dyDescent="0.2">
      <c r="C4" s="128" t="s">
        <v>117</v>
      </c>
      <c r="D4" s="129"/>
      <c r="E4" s="129"/>
      <c r="F4" s="129"/>
      <c r="G4" s="129"/>
      <c r="H4" s="129"/>
      <c r="I4" s="129"/>
      <c r="J4" s="129"/>
      <c r="K4" s="129"/>
      <c r="L4" s="130"/>
    </row>
    <row r="5" spans="3:12" ht="18.75" customHeight="1" x14ac:dyDescent="0.2">
      <c r="C5" s="137" t="s">
        <v>118</v>
      </c>
      <c r="D5" s="135"/>
      <c r="E5" s="135"/>
      <c r="F5" s="135"/>
      <c r="G5" s="135"/>
      <c r="H5" s="135"/>
      <c r="I5" s="135"/>
      <c r="J5" s="135"/>
      <c r="K5" s="135"/>
      <c r="L5" s="136"/>
    </row>
    <row r="6" spans="3:12" ht="18.75" customHeight="1" x14ac:dyDescent="0.2">
      <c r="C6" s="137"/>
      <c r="D6" s="135"/>
      <c r="E6" s="135"/>
      <c r="F6" s="135"/>
      <c r="G6" s="135"/>
      <c r="H6" s="135"/>
      <c r="I6" s="135"/>
      <c r="J6" s="135"/>
      <c r="K6" s="135"/>
      <c r="L6" s="136"/>
    </row>
    <row r="7" spans="3:12" ht="18.75" customHeight="1" x14ac:dyDescent="0.2">
      <c r="C7" s="128" t="s">
        <v>119</v>
      </c>
      <c r="D7" s="129"/>
      <c r="E7" s="129"/>
      <c r="F7" s="129"/>
      <c r="G7" s="129"/>
      <c r="H7" s="129"/>
      <c r="I7" s="129"/>
      <c r="J7" s="129"/>
      <c r="K7" s="129"/>
      <c r="L7" s="130"/>
    </row>
    <row r="8" spans="3:12" ht="18.75" customHeight="1" x14ac:dyDescent="0.2">
      <c r="C8" s="78"/>
      <c r="D8" s="129" t="s">
        <v>120</v>
      </c>
      <c r="E8" s="129"/>
      <c r="F8" s="129"/>
      <c r="G8" s="129"/>
      <c r="H8" s="129"/>
      <c r="I8" s="129"/>
      <c r="J8" s="129"/>
      <c r="K8" s="129"/>
      <c r="L8" s="130"/>
    </row>
    <row r="9" spans="3:12" ht="18.75" customHeight="1" x14ac:dyDescent="0.2">
      <c r="C9" s="78"/>
      <c r="D9" s="129" t="s">
        <v>121</v>
      </c>
      <c r="E9" s="129"/>
      <c r="F9" s="129"/>
      <c r="G9" s="129"/>
      <c r="H9" s="129"/>
      <c r="I9" s="129"/>
      <c r="J9" s="129"/>
      <c r="K9" s="129"/>
      <c r="L9" s="130"/>
    </row>
    <row r="10" spans="3:12" ht="18.75" customHeight="1" x14ac:dyDescent="0.2">
      <c r="C10" s="78"/>
      <c r="D10" s="79"/>
      <c r="E10" s="140" t="s">
        <v>122</v>
      </c>
      <c r="F10" s="141"/>
      <c r="G10" s="141"/>
      <c r="H10" s="142"/>
      <c r="I10" s="79"/>
      <c r="J10" s="79"/>
      <c r="K10" s="79"/>
      <c r="L10" s="80"/>
    </row>
    <row r="11" spans="3:12" ht="18.75" customHeight="1" x14ac:dyDescent="0.2">
      <c r="C11" s="78"/>
      <c r="D11" s="79"/>
      <c r="E11" s="79"/>
      <c r="F11" s="79"/>
      <c r="G11" s="138" t="s">
        <v>123</v>
      </c>
      <c r="H11" s="138"/>
      <c r="I11" s="138"/>
      <c r="J11" s="138"/>
      <c r="K11" s="138"/>
      <c r="L11" s="139"/>
    </row>
    <row r="12" spans="3:12" ht="18.75" customHeight="1" x14ac:dyDescent="0.2">
      <c r="C12" s="78"/>
      <c r="D12" s="79"/>
      <c r="E12" s="79"/>
      <c r="F12" s="79"/>
      <c r="G12" s="138"/>
      <c r="H12" s="138"/>
      <c r="I12" s="138"/>
      <c r="J12" s="138"/>
      <c r="K12" s="138"/>
      <c r="L12" s="139"/>
    </row>
    <row r="13" spans="3:12" ht="18.75" customHeight="1" x14ac:dyDescent="0.2">
      <c r="C13" s="78"/>
      <c r="D13" s="135" t="s">
        <v>125</v>
      </c>
      <c r="E13" s="135"/>
      <c r="F13" s="135"/>
      <c r="G13" s="135"/>
      <c r="H13" s="135"/>
      <c r="I13" s="135"/>
      <c r="J13" s="135"/>
      <c r="K13" s="135"/>
      <c r="L13" s="136"/>
    </row>
    <row r="14" spans="3:12" ht="18.75" customHeight="1" x14ac:dyDescent="0.2">
      <c r="C14" s="78"/>
      <c r="D14" s="135"/>
      <c r="E14" s="135"/>
      <c r="F14" s="135"/>
      <c r="G14" s="135"/>
      <c r="H14" s="135"/>
      <c r="I14" s="135"/>
      <c r="J14" s="135"/>
      <c r="K14" s="135"/>
      <c r="L14" s="136"/>
    </row>
    <row r="15" spans="3:12" ht="18.75" customHeight="1" x14ac:dyDescent="0.2">
      <c r="C15" s="78"/>
      <c r="D15" s="131" t="s">
        <v>124</v>
      </c>
      <c r="E15" s="131"/>
      <c r="F15" s="131"/>
      <c r="G15" s="131"/>
      <c r="H15" s="131"/>
      <c r="I15" s="131"/>
      <c r="J15" s="131"/>
      <c r="K15" s="131"/>
      <c r="L15" s="132"/>
    </row>
    <row r="16" spans="3:12" ht="18.75" customHeight="1" x14ac:dyDescent="0.3">
      <c r="C16" s="81"/>
      <c r="D16" s="131"/>
      <c r="E16" s="131"/>
      <c r="F16" s="131"/>
      <c r="G16" s="131"/>
      <c r="H16" s="131"/>
      <c r="I16" s="131"/>
      <c r="J16" s="131"/>
      <c r="K16" s="131"/>
      <c r="L16" s="132"/>
    </row>
    <row r="17" spans="3:12" ht="18.75" customHeight="1" x14ac:dyDescent="0.25">
      <c r="C17" s="82"/>
      <c r="D17" s="131"/>
      <c r="E17" s="131"/>
      <c r="F17" s="131"/>
      <c r="G17" s="131"/>
      <c r="H17" s="131"/>
      <c r="I17" s="131"/>
      <c r="J17" s="131"/>
      <c r="K17" s="131"/>
      <c r="L17" s="132"/>
    </row>
    <row r="18" spans="3:12" ht="18.75" customHeight="1" thickBot="1" x14ac:dyDescent="0.3">
      <c r="C18" s="83"/>
      <c r="D18" s="133"/>
      <c r="E18" s="133"/>
      <c r="F18" s="133"/>
      <c r="G18" s="133"/>
      <c r="H18" s="133"/>
      <c r="I18" s="133"/>
      <c r="J18" s="133"/>
      <c r="K18" s="133"/>
      <c r="L18" s="134"/>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95250</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95250</xdr:colOff>
                    <xdr:row>2</xdr:row>
                    <xdr:rowOff>209550</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B1:AA39"/>
  <sheetViews>
    <sheetView showGridLines="0" tabSelected="1" workbookViewId="0"/>
  </sheetViews>
  <sheetFormatPr baseColWidth="10" defaultRowHeight="15" x14ac:dyDescent="0.25"/>
  <cols>
    <col min="1" max="1" width="3.42578125" style="40" customWidth="1"/>
    <col min="2" max="2" width="22" style="40" customWidth="1"/>
    <col min="3" max="4" width="3.5703125" style="40" customWidth="1"/>
    <col min="5" max="5" width="18.5703125" style="40" customWidth="1"/>
    <col min="6" max="6" width="22.42578125" style="40" customWidth="1"/>
    <col min="7" max="7" width="16.42578125" style="40" customWidth="1"/>
    <col min="8" max="8" width="17.28515625" style="40" customWidth="1"/>
    <col min="9" max="9" width="17.85546875" style="40" customWidth="1"/>
    <col min="10" max="10" width="4.42578125" style="40" customWidth="1"/>
    <col min="11" max="11" width="1.85546875" style="40" customWidth="1"/>
    <col min="12" max="12" width="1.5703125" style="40" customWidth="1"/>
    <col min="13" max="13" width="21.85546875" style="56" customWidth="1"/>
    <col min="14" max="14" width="19.28515625" style="56" bestFit="1" customWidth="1"/>
    <col min="15" max="15" width="9.7109375" style="40" customWidth="1"/>
    <col min="16" max="16384" width="11.42578125" style="40"/>
  </cols>
  <sheetData>
    <row r="1" spans="2:27" ht="15.75" thickBot="1" x14ac:dyDescent="0.3">
      <c r="E1" s="41" t="s">
        <v>69</v>
      </c>
      <c r="F1" s="42" t="s">
        <v>126</v>
      </c>
      <c r="G1" s="90" t="s">
        <v>86</v>
      </c>
      <c r="H1" s="91" t="str">
        <f>IF($F1="(Plusieurs éléments)","",IF($F1="(vide)","",IF($F1="(Tous)","",VLOOKUP($F1,$M$3:$N$23,2,FALSE))))</f>
        <v/>
      </c>
      <c r="M1" s="149" t="s">
        <v>91</v>
      </c>
      <c r="N1" s="149"/>
      <c r="O1" s="149"/>
      <c r="Z1" s="103" t="b">
        <v>1</v>
      </c>
      <c r="AA1" s="102"/>
    </row>
    <row r="2" spans="2:27" ht="15.75" thickTop="1" x14ac:dyDescent="0.25">
      <c r="B2" s="38" t="s">
        <v>80</v>
      </c>
      <c r="E2" s="43" t="s">
        <v>89</v>
      </c>
      <c r="F2" s="43"/>
      <c r="G2" s="42"/>
      <c r="M2" s="150"/>
      <c r="N2" s="150"/>
      <c r="O2" s="150"/>
    </row>
    <row r="3" spans="2:27" ht="30.75" thickBot="1" x14ac:dyDescent="0.3">
      <c r="B3" s="39" t="s">
        <v>141</v>
      </c>
      <c r="E3" s="44" t="s">
        <v>87</v>
      </c>
      <c r="F3" s="44" t="s">
        <v>83</v>
      </c>
      <c r="G3" s="45" t="s">
        <v>81</v>
      </c>
      <c r="H3" s="45" t="s">
        <v>82</v>
      </c>
      <c r="I3" s="68" t="s">
        <v>84</v>
      </c>
      <c r="J3"/>
      <c r="M3" s="46" t="s">
        <v>85</v>
      </c>
      <c r="N3" s="62" t="s">
        <v>90</v>
      </c>
      <c r="O3" s="47" t="s">
        <v>111</v>
      </c>
    </row>
    <row r="4" spans="2:27" ht="15.75" thickTop="1" x14ac:dyDescent="0.25">
      <c r="E4" s="85"/>
      <c r="F4" s="86"/>
      <c r="G4" s="87"/>
      <c r="H4" s="88"/>
      <c r="I4" s="89" t="str">
        <f>IF(GETPIVOTDATA("Kilométrage actuel de la voiture",$E$3)&gt;0,GETPIVOTDATA("Conso Totale (L)",$E$3)*100/GETPIVOTDATA("Kilométrage total",$E$3),"")</f>
        <v/>
      </c>
      <c r="J4"/>
      <c r="M4" s="48"/>
      <c r="N4" s="63"/>
      <c r="O4" s="49"/>
    </row>
    <row r="5" spans="2:27" x14ac:dyDescent="0.25">
      <c r="B5" s="40" t="s">
        <v>88</v>
      </c>
      <c r="M5" s="50"/>
      <c r="N5" s="64"/>
      <c r="O5" s="51"/>
    </row>
    <row r="6" spans="2:27" x14ac:dyDescent="0.25">
      <c r="E6" s="43" t="s">
        <v>96</v>
      </c>
      <c r="M6" s="50"/>
      <c r="N6" s="64"/>
      <c r="O6" s="51"/>
    </row>
    <row r="7" spans="2:27" x14ac:dyDescent="0.25">
      <c r="E7" s="147" t="s">
        <v>95</v>
      </c>
      <c r="F7" s="148"/>
      <c r="G7" s="143" t="s">
        <v>92</v>
      </c>
      <c r="H7" s="144"/>
      <c r="M7" s="52"/>
      <c r="N7" s="65"/>
      <c r="O7" s="53"/>
    </row>
    <row r="8" spans="2:27" x14ac:dyDescent="0.25">
      <c r="E8" s="145" t="s">
        <v>88</v>
      </c>
      <c r="F8" s="146"/>
      <c r="G8" s="57" t="s">
        <v>93</v>
      </c>
      <c r="H8" s="84" t="s">
        <v>88</v>
      </c>
      <c r="M8" s="52"/>
      <c r="N8" s="65"/>
      <c r="O8" s="53"/>
    </row>
    <row r="9" spans="2:27" x14ac:dyDescent="0.25">
      <c r="E9" s="145"/>
      <c r="F9" s="146"/>
      <c r="G9" s="58" t="s">
        <v>94</v>
      </c>
      <c r="H9" s="84" t="s">
        <v>88</v>
      </c>
      <c r="M9" s="52"/>
      <c r="N9" s="65"/>
      <c r="O9" s="53"/>
    </row>
    <row r="10" spans="2:27" x14ac:dyDescent="0.25">
      <c r="M10" s="52"/>
      <c r="N10" s="65"/>
      <c r="O10" s="53"/>
    </row>
    <row r="11" spans="2:27" x14ac:dyDescent="0.25">
      <c r="M11" s="52"/>
      <c r="N11" s="65"/>
      <c r="O11" s="53"/>
    </row>
    <row r="12" spans="2:27" x14ac:dyDescent="0.25">
      <c r="M12" s="52"/>
      <c r="N12" s="65"/>
      <c r="O12" s="53"/>
    </row>
    <row r="13" spans="2:27" x14ac:dyDescent="0.25">
      <c r="M13" s="52"/>
      <c r="N13" s="65"/>
      <c r="O13" s="53"/>
    </row>
    <row r="14" spans="2:27" ht="16.5" x14ac:dyDescent="0.3">
      <c r="F14" s="76"/>
      <c r="M14" s="52"/>
      <c r="N14" s="65"/>
      <c r="O14" s="53"/>
    </row>
    <row r="15" spans="2:27" x14ac:dyDescent="0.25">
      <c r="M15" s="52"/>
      <c r="N15" s="65"/>
      <c r="O15" s="53"/>
    </row>
    <row r="16" spans="2:27" x14ac:dyDescent="0.25">
      <c r="M16" s="52"/>
      <c r="N16" s="65"/>
      <c r="O16" s="53"/>
    </row>
    <row r="17" spans="2:15" x14ac:dyDescent="0.25">
      <c r="M17" s="52"/>
      <c r="N17" s="65"/>
      <c r="O17" s="53"/>
    </row>
    <row r="18" spans="2:15" x14ac:dyDescent="0.25">
      <c r="M18" s="52"/>
      <c r="N18" s="65"/>
      <c r="O18" s="53"/>
    </row>
    <row r="19" spans="2:15" ht="16.5" x14ac:dyDescent="0.3">
      <c r="F19" s="76"/>
      <c r="M19" s="52"/>
      <c r="N19" s="65"/>
      <c r="O19" s="53"/>
    </row>
    <row r="20" spans="2:15" x14ac:dyDescent="0.25">
      <c r="E20" s="157" t="s">
        <v>127</v>
      </c>
      <c r="F20" s="157"/>
      <c r="G20" s="157"/>
      <c r="H20" s="157"/>
      <c r="I20" s="157"/>
      <c r="M20" s="52"/>
      <c r="N20" s="65"/>
      <c r="O20" s="53"/>
    </row>
    <row r="21" spans="2:15" x14ac:dyDescent="0.25">
      <c r="B21" s="40" t="s">
        <v>88</v>
      </c>
      <c r="E21" s="114" t="s">
        <v>128</v>
      </c>
      <c r="F21" s="151" t="s">
        <v>129</v>
      </c>
      <c r="G21" s="151"/>
      <c r="H21" s="151"/>
      <c r="I21" s="152"/>
      <c r="M21" s="52"/>
      <c r="N21" s="65"/>
      <c r="O21" s="53"/>
    </row>
    <row r="22" spans="2:15" x14ac:dyDescent="0.25">
      <c r="E22" s="115" t="s">
        <v>133</v>
      </c>
      <c r="F22" s="116" t="s">
        <v>130</v>
      </c>
      <c r="G22" s="117"/>
      <c r="H22" s="118"/>
      <c r="I22" s="119"/>
      <c r="M22" s="52"/>
      <c r="N22" s="65"/>
      <c r="O22" s="53"/>
    </row>
    <row r="23" spans="2:15" x14ac:dyDescent="0.25">
      <c r="E23" s="120" t="s">
        <v>134</v>
      </c>
      <c r="F23" s="116" t="s">
        <v>135</v>
      </c>
      <c r="G23" s="117"/>
      <c r="H23" s="118"/>
      <c r="I23" s="119"/>
      <c r="M23" s="54"/>
      <c r="N23" s="66"/>
      <c r="O23" s="55"/>
    </row>
    <row r="24" spans="2:15" x14ac:dyDescent="0.25">
      <c r="E24" s="121" t="s">
        <v>131</v>
      </c>
      <c r="F24" s="116" t="s">
        <v>132</v>
      </c>
      <c r="G24" s="117"/>
      <c r="H24" s="118"/>
      <c r="I24" s="119"/>
    </row>
    <row r="26" spans="2:15" x14ac:dyDescent="0.25">
      <c r="E26" s="157" t="s">
        <v>140</v>
      </c>
      <c r="F26" s="157"/>
      <c r="G26" s="157"/>
      <c r="H26" s="157"/>
      <c r="I26" s="157"/>
    </row>
    <row r="27" spans="2:15" ht="15" customHeight="1" x14ac:dyDescent="0.25">
      <c r="E27" s="155" t="s">
        <v>136</v>
      </c>
      <c r="F27" s="153" t="s">
        <v>137</v>
      </c>
      <c r="G27" s="153"/>
      <c r="H27" s="153"/>
      <c r="I27" s="154"/>
      <c r="J27" s="56"/>
      <c r="K27" s="56"/>
      <c r="L27" s="56"/>
    </row>
    <row r="28" spans="2:15" x14ac:dyDescent="0.25">
      <c r="E28" s="156"/>
      <c r="F28" s="153"/>
      <c r="G28" s="153"/>
      <c r="H28" s="153"/>
      <c r="I28" s="154"/>
      <c r="J28" s="56"/>
      <c r="K28" s="56"/>
      <c r="L28" s="56"/>
    </row>
    <row r="29" spans="2:15" ht="30" customHeight="1" x14ac:dyDescent="0.25">
      <c r="E29" s="113" t="s">
        <v>138</v>
      </c>
      <c r="F29" s="153" t="s">
        <v>139</v>
      </c>
      <c r="G29" s="153"/>
      <c r="H29" s="153"/>
      <c r="I29" s="154"/>
      <c r="J29" s="56"/>
      <c r="K29" s="56"/>
      <c r="L29" s="56"/>
    </row>
    <row r="30" spans="2:15" x14ac:dyDescent="0.25">
      <c r="E30" s="112"/>
      <c r="F30" s="111"/>
      <c r="G30" s="111"/>
      <c r="H30" s="111"/>
      <c r="I30" s="111"/>
      <c r="J30" s="111"/>
    </row>
    <row r="37" spans="6:7" x14ac:dyDescent="0.25">
      <c r="G37" s="40" t="s">
        <v>88</v>
      </c>
    </row>
    <row r="39" spans="6:7" x14ac:dyDescent="0.25">
      <c r="F39" s="40" t="s">
        <v>88</v>
      </c>
    </row>
  </sheetData>
  <dataConsolidate/>
  <mergeCells count="10">
    <mergeCell ref="F27:I28"/>
    <mergeCell ref="F29:I29"/>
    <mergeCell ref="E27:E28"/>
    <mergeCell ref="E20:I20"/>
    <mergeCell ref="E26:I26"/>
    <mergeCell ref="G7:H7"/>
    <mergeCell ref="E8:F9"/>
    <mergeCell ref="E7:F7"/>
    <mergeCell ref="M1:O2"/>
    <mergeCell ref="F21:I21"/>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133350</xdr:rowOff>
                  </from>
                  <to>
                    <xdr:col>2</xdr:col>
                    <xdr:colOff>38100</xdr:colOff>
                    <xdr:row>6</xdr:row>
                    <xdr:rowOff>161925</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7</xdr:row>
                    <xdr:rowOff>47625</xdr:rowOff>
                  </from>
                  <to>
                    <xdr:col>2</xdr:col>
                    <xdr:colOff>38100</xdr:colOff>
                    <xdr:row>10</xdr:row>
                    <xdr:rowOff>85725</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10</xdr:row>
                    <xdr:rowOff>161925</xdr:rowOff>
                  </from>
                  <to>
                    <xdr:col>2</xdr:col>
                    <xdr:colOff>38100</xdr:colOff>
                    <xdr:row>13</xdr:row>
                    <xdr:rowOff>200025</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3</xdr:col>
                    <xdr:colOff>66675</xdr:colOff>
                    <xdr:row>10</xdr:row>
                    <xdr:rowOff>142875</xdr:rowOff>
                  </from>
                  <to>
                    <xdr:col>5</xdr:col>
                    <xdr:colOff>209550</xdr:colOff>
                    <xdr:row>13</xdr:row>
                    <xdr:rowOff>190500</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14</xdr:row>
                    <xdr:rowOff>47625</xdr:rowOff>
                  </from>
                  <to>
                    <xdr:col>2</xdr:col>
                    <xdr:colOff>38100</xdr:colOff>
                    <xdr:row>17</xdr:row>
                    <xdr:rowOff>104775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3</xdr:col>
                    <xdr:colOff>66675</xdr:colOff>
                    <xdr:row>14</xdr:row>
                    <xdr:rowOff>47625</xdr:rowOff>
                  </from>
                  <to>
                    <xdr:col>5</xdr:col>
                    <xdr:colOff>209550</xdr:colOff>
                    <xdr:row>17</xdr:row>
                    <xdr:rowOff>95250</xdr:rowOff>
                  </to>
                </anchor>
              </controlPr>
            </control>
          </mc:Choice>
        </mc:AlternateContent>
        <mc:AlternateContent xmlns:mc="http://schemas.openxmlformats.org/markup-compatibility/2006">
          <mc:Choice Requires="x14">
            <control shapeId="22536" r:id="rId11" name="Button 8">
              <controlPr defaultSize="0" print="0" autoFill="0" autoPict="0" macro="[0]!RemetAdresseDepuisGPS">
                <anchor>
                  <from>
                    <xdr:col>0</xdr:col>
                    <xdr:colOff>114300</xdr:colOff>
                    <xdr:row>17</xdr:row>
                    <xdr:rowOff>152400</xdr:rowOff>
                  </from>
                  <to>
                    <xdr:col>2</xdr:col>
                    <xdr:colOff>38100</xdr:colOff>
                    <xdr:row>21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BN8"/>
  <sheetViews>
    <sheetView zoomScaleNormal="100" workbookViewId="0">
      <pane ySplit="2" topLeftCell="A3" activePane="bottomLeft" state="frozen"/>
      <selection pane="bottomLeft" activeCell="A3" sqref="A3"/>
    </sheetView>
  </sheetViews>
  <sheetFormatPr baseColWidth="10" defaultRowHeight="12.75" x14ac:dyDescent="0.2"/>
  <cols>
    <col min="1" max="1" width="17.28515625" style="22" customWidth="1"/>
    <col min="2" max="2" width="11.7109375" style="1" bestFit="1" customWidth="1"/>
    <col min="3" max="4" width="15.7109375" style="19" customWidth="1"/>
    <col min="5" max="5" width="10.7109375" style="110" customWidth="1"/>
    <col min="6" max="6" width="10.85546875" style="16" customWidth="1"/>
    <col min="7" max="7" width="9.85546875" style="16" customWidth="1"/>
    <col min="8" max="8" width="8.5703125" style="17" customWidth="1"/>
    <col min="9" max="9" width="9.85546875" style="18" customWidth="1"/>
    <col min="10" max="10" width="19.5703125" style="104" bestFit="1" customWidth="1"/>
    <col min="11" max="11" width="18.5703125" style="104" bestFit="1" customWidth="1"/>
    <col min="12" max="12" width="44.7109375" style="104" customWidth="1"/>
    <col min="13" max="13" width="19.5703125" style="105" bestFit="1" customWidth="1"/>
    <col min="14" max="14" width="18.5703125" style="106" bestFit="1" customWidth="1"/>
    <col min="15" max="15" width="44.7109375" style="107" customWidth="1"/>
    <col min="16" max="16" width="14.140625" style="21" customWidth="1"/>
    <col min="17" max="17" width="13.7109375" style="20" customWidth="1"/>
    <col min="18" max="19" width="11.42578125" style="61" customWidth="1"/>
    <col min="20" max="21" width="21.5703125" style="104" customWidth="1"/>
    <col min="22" max="22" width="37.140625" style="93" customWidth="1"/>
    <col min="23" max="24" width="11.42578125" style="61" customWidth="1"/>
    <col min="25" max="25" width="13.140625" style="61" customWidth="1"/>
    <col min="26" max="33" width="11.42578125" style="61" customWidth="1"/>
    <col min="34" max="34" width="11.28515625" style="61" customWidth="1"/>
    <col min="35" max="35" width="11.42578125" style="61" customWidth="1"/>
    <col min="36" max="66" width="11.42578125" style="73"/>
    <col min="67" max="16384" width="11.42578125" style="1"/>
  </cols>
  <sheetData>
    <row r="1" spans="1:66" ht="32.25" customHeight="1" x14ac:dyDescent="0.2">
      <c r="A1" s="26"/>
      <c r="B1" s="26"/>
      <c r="C1" s="26"/>
      <c r="D1" s="26"/>
      <c r="E1" s="35" t="s">
        <v>68</v>
      </c>
      <c r="F1" s="23"/>
      <c r="G1" s="36"/>
      <c r="H1" s="25"/>
      <c r="I1" s="23"/>
      <c r="J1" s="25"/>
      <c r="K1" s="25"/>
      <c r="L1" s="24"/>
      <c r="M1" s="36"/>
      <c r="N1" s="72"/>
      <c r="O1" s="29"/>
      <c r="P1" s="30"/>
      <c r="Q1" s="31"/>
      <c r="R1" s="158" t="s">
        <v>108</v>
      </c>
      <c r="S1" s="159"/>
      <c r="T1" s="160"/>
      <c r="U1" s="160"/>
      <c r="V1" s="160"/>
      <c r="W1" s="159"/>
      <c r="X1" s="159"/>
      <c r="Y1" s="159"/>
      <c r="Z1" s="159"/>
      <c r="AA1" s="159"/>
      <c r="AB1" s="159"/>
      <c r="AC1" s="159"/>
      <c r="AD1" s="159"/>
      <c r="AE1" s="159"/>
      <c r="AF1" s="161"/>
      <c r="AG1" s="67"/>
      <c r="AH1" s="69"/>
      <c r="AI1" s="69"/>
    </row>
    <row r="2" spans="1:66" s="15" customFormat="1" ht="31.5" customHeight="1" x14ac:dyDescent="0.2">
      <c r="A2" s="32" t="s">
        <v>69</v>
      </c>
      <c r="B2" s="32" t="s">
        <v>54</v>
      </c>
      <c r="C2" s="33" t="s">
        <v>56</v>
      </c>
      <c r="D2" s="33" t="s">
        <v>57</v>
      </c>
      <c r="E2" s="27" t="s">
        <v>66</v>
      </c>
      <c r="F2" s="28" t="s">
        <v>71</v>
      </c>
      <c r="G2" s="28" t="s">
        <v>70</v>
      </c>
      <c r="H2" s="28" t="s">
        <v>73</v>
      </c>
      <c r="I2" s="28" t="s">
        <v>72</v>
      </c>
      <c r="J2" s="92" t="s">
        <v>75</v>
      </c>
      <c r="K2" s="92" t="s">
        <v>76</v>
      </c>
      <c r="L2" s="34" t="s">
        <v>74</v>
      </c>
      <c r="M2" s="71" t="s">
        <v>77</v>
      </c>
      <c r="N2" s="71" t="s">
        <v>78</v>
      </c>
      <c r="O2" s="34" t="s">
        <v>79</v>
      </c>
      <c r="P2" s="28" t="s">
        <v>58</v>
      </c>
      <c r="Q2" s="28" t="s">
        <v>67</v>
      </c>
      <c r="R2" s="59" t="s">
        <v>97</v>
      </c>
      <c r="S2" s="60" t="s">
        <v>98</v>
      </c>
      <c r="T2" s="60" t="s">
        <v>115</v>
      </c>
      <c r="U2" s="60" t="s">
        <v>114</v>
      </c>
      <c r="V2" s="60" t="s">
        <v>99</v>
      </c>
      <c r="W2" s="60" t="s">
        <v>100</v>
      </c>
      <c r="X2" s="60" t="s">
        <v>101</v>
      </c>
      <c r="Y2" s="60" t="s">
        <v>102</v>
      </c>
      <c r="Z2" s="60" t="s">
        <v>103</v>
      </c>
      <c r="AA2" s="60" t="s">
        <v>104</v>
      </c>
      <c r="AB2" s="60" t="s">
        <v>105</v>
      </c>
      <c r="AC2" s="60" t="s">
        <v>106</v>
      </c>
      <c r="AD2" s="60" t="s">
        <v>107</v>
      </c>
      <c r="AE2" s="60" t="s">
        <v>109</v>
      </c>
      <c r="AF2" s="60" t="s">
        <v>110</v>
      </c>
      <c r="AG2" s="60" t="s">
        <v>111</v>
      </c>
      <c r="AH2" s="70" t="s">
        <v>112</v>
      </c>
      <c r="AI2" s="70" t="s">
        <v>113</v>
      </c>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row>
    <row r="8" spans="1:66" s="108" customFormat="1" x14ac:dyDescent="0.2">
      <c r="A8" s="22"/>
      <c r="B8" s="1"/>
      <c r="C8" s="19"/>
      <c r="D8" s="19"/>
      <c r="E8" s="110"/>
      <c r="F8" s="16"/>
      <c r="G8" s="16"/>
      <c r="H8" s="17"/>
      <c r="I8" s="18"/>
      <c r="J8" s="104"/>
      <c r="K8" s="104"/>
      <c r="L8" s="104"/>
      <c r="M8" s="105"/>
      <c r="N8" s="106"/>
      <c r="O8" s="107"/>
      <c r="P8" s="21"/>
      <c r="Q8" s="20"/>
      <c r="R8" s="61"/>
      <c r="S8" s="61"/>
      <c r="T8" s="104"/>
      <c r="U8" s="104"/>
      <c r="V8" s="93"/>
      <c r="W8" s="61"/>
      <c r="X8" s="61"/>
      <c r="Y8" s="61"/>
      <c r="Z8" s="61"/>
      <c r="AA8" s="61"/>
      <c r="AB8" s="61"/>
      <c r="AC8" s="61"/>
      <c r="AD8" s="61"/>
      <c r="AE8" s="61"/>
      <c r="AF8" s="61"/>
      <c r="AG8" s="61"/>
      <c r="AH8" s="61"/>
      <c r="AI8" s="61"/>
      <c r="AJ8" s="109"/>
      <c r="AK8" s="109"/>
      <c r="AL8" s="109"/>
      <c r="AM8" s="109"/>
      <c r="AN8" s="109"/>
      <c r="AO8" s="109"/>
      <c r="AP8" s="109"/>
      <c r="AQ8" s="109"/>
      <c r="AR8" s="109"/>
      <c r="AS8" s="109"/>
      <c r="AT8" s="109"/>
      <c r="AU8" s="109"/>
      <c r="AV8" s="109"/>
      <c r="AW8" s="109"/>
      <c r="AX8" s="109"/>
      <c r="AY8" s="109"/>
      <c r="AZ8" s="109"/>
      <c r="BA8" s="109"/>
      <c r="BB8" s="109"/>
      <c r="BC8" s="109"/>
      <c r="BD8" s="109"/>
      <c r="BE8" s="109"/>
      <c r="BF8" s="109"/>
      <c r="BG8" s="109"/>
      <c r="BH8" s="109"/>
      <c r="BI8" s="109"/>
      <c r="BJ8" s="109"/>
      <c r="BK8" s="109"/>
      <c r="BL8" s="109"/>
      <c r="BM8" s="109"/>
      <c r="BN8" s="109"/>
    </row>
  </sheetData>
  <autoFilter ref="A2:B2" xr:uid="{00000000-0009-0000-0000-000003000000}"/>
  <sortState xmlns:xlrd2="http://schemas.microsoft.com/office/spreadsheetml/2017/richdata2" ref="A3:AI1048151">
    <sortCondition ref="A3:A1048151"/>
    <sortCondition ref="B3:B1048151"/>
  </sortState>
  <dataConsolidate/>
  <mergeCells count="1">
    <mergeCell ref="R1:AF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390525</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15</xdr:col>
                    <xdr:colOff>666750</xdr:colOff>
                    <xdr:row>0</xdr:row>
                    <xdr:rowOff>28575</xdr:rowOff>
                  </from>
                  <to>
                    <xdr:col>16</xdr:col>
                    <xdr:colOff>876300</xdr:colOff>
                    <xdr:row>0</xdr:row>
                    <xdr:rowOff>381000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I55"/>
  <sheetViews>
    <sheetView workbookViewId="0">
      <selection activeCell="N28" sqref="N28"/>
    </sheetView>
  </sheetViews>
  <sheetFormatPr baseColWidth="10" defaultRowHeight="12.75" x14ac:dyDescent="0.2"/>
  <cols>
    <col min="2" max="2" width="17.7109375" style="99" bestFit="1" customWidth="1"/>
    <col min="4" max="4" width="20.28515625" style="101" bestFit="1" customWidth="1"/>
  </cols>
  <sheetData>
    <row r="1" spans="1:9" x14ac:dyDescent="0.2">
      <c r="A1" s="2" t="s">
        <v>59</v>
      </c>
      <c r="B1" s="11" t="s">
        <v>63</v>
      </c>
      <c r="C1" s="3" t="s">
        <v>60</v>
      </c>
      <c r="D1" s="100" t="s">
        <v>62</v>
      </c>
      <c r="E1" s="94" t="s">
        <v>61</v>
      </c>
      <c r="F1" s="4">
        <f>MAX(B1:B10000)</f>
        <v>0</v>
      </c>
      <c r="G1" s="5" t="s">
        <v>2</v>
      </c>
    </row>
    <row r="3" spans="1:9" x14ac:dyDescent="0.2">
      <c r="E3" s="95" t="s">
        <v>2</v>
      </c>
      <c r="F3" s="7" t="s">
        <v>53</v>
      </c>
      <c r="G3" s="8" t="s">
        <v>0</v>
      </c>
      <c r="H3" s="8" t="s">
        <v>55</v>
      </c>
      <c r="I3" s="8" t="s">
        <v>1</v>
      </c>
    </row>
    <row r="4" spans="1:9" x14ac:dyDescent="0.2">
      <c r="E4" s="96" t="s">
        <v>3</v>
      </c>
      <c r="F4" s="13">
        <v>0</v>
      </c>
      <c r="G4" s="14" t="e">
        <f t="shared" ref="G4:G53" si="0">F4/$F$55*100</f>
        <v>#DIV/0!</v>
      </c>
      <c r="H4" s="14">
        <v>0</v>
      </c>
      <c r="I4" s="14" t="e">
        <f t="shared" ref="I4:I53" si="1">H4/$H$55*100</f>
        <v>#DIV/0!</v>
      </c>
    </row>
    <row r="5" spans="1:9" x14ac:dyDescent="0.2">
      <c r="E5" s="96" t="s">
        <v>4</v>
      </c>
      <c r="F5" s="13">
        <v>0</v>
      </c>
      <c r="G5" s="14" t="e">
        <f t="shared" si="0"/>
        <v>#DIV/0!</v>
      </c>
      <c r="H5" s="14">
        <v>0</v>
      </c>
      <c r="I5" s="14" t="e">
        <f t="shared" si="1"/>
        <v>#DIV/0!</v>
      </c>
    </row>
    <row r="6" spans="1:9" x14ac:dyDescent="0.2">
      <c r="E6" s="96" t="s">
        <v>5</v>
      </c>
      <c r="F6" s="13">
        <v>0</v>
      </c>
      <c r="G6" s="14" t="e">
        <f t="shared" si="0"/>
        <v>#DIV/0!</v>
      </c>
      <c r="H6" s="14">
        <v>0</v>
      </c>
      <c r="I6" s="14" t="e">
        <f t="shared" si="1"/>
        <v>#DIV/0!</v>
      </c>
    </row>
    <row r="7" spans="1:9" x14ac:dyDescent="0.2">
      <c r="E7" s="96" t="s">
        <v>6</v>
      </c>
      <c r="F7" s="13">
        <v>0</v>
      </c>
      <c r="G7" s="14" t="e">
        <f t="shared" si="0"/>
        <v>#DIV/0!</v>
      </c>
      <c r="H7" s="14">
        <v>0</v>
      </c>
      <c r="I7" s="14" t="e">
        <f t="shared" si="1"/>
        <v>#DIV/0!</v>
      </c>
    </row>
    <row r="8" spans="1:9" x14ac:dyDescent="0.2">
      <c r="E8" s="96" t="s">
        <v>7</v>
      </c>
      <c r="F8" s="13">
        <v>0</v>
      </c>
      <c r="G8" s="14" t="e">
        <f t="shared" si="0"/>
        <v>#DIV/0!</v>
      </c>
      <c r="H8" s="14">
        <v>0</v>
      </c>
      <c r="I8" s="14" t="e">
        <f t="shared" si="1"/>
        <v>#DIV/0!</v>
      </c>
    </row>
    <row r="9" spans="1:9" x14ac:dyDescent="0.2">
      <c r="E9" s="96" t="s">
        <v>8</v>
      </c>
      <c r="F9" s="13">
        <v>0</v>
      </c>
      <c r="G9" s="14" t="e">
        <f t="shared" si="0"/>
        <v>#DIV/0!</v>
      </c>
      <c r="H9" s="14">
        <v>0</v>
      </c>
      <c r="I9" s="14" t="e">
        <f t="shared" si="1"/>
        <v>#DIV/0!</v>
      </c>
    </row>
    <row r="10" spans="1:9" x14ac:dyDescent="0.2">
      <c r="E10" s="96" t="s">
        <v>9</v>
      </c>
      <c r="F10" s="13">
        <v>0</v>
      </c>
      <c r="G10" s="14" t="e">
        <f t="shared" si="0"/>
        <v>#DIV/0!</v>
      </c>
      <c r="H10" s="14">
        <v>0</v>
      </c>
      <c r="I10" s="14" t="e">
        <f t="shared" si="1"/>
        <v>#DIV/0!</v>
      </c>
    </row>
    <row r="11" spans="1:9" x14ac:dyDescent="0.2">
      <c r="E11" s="96" t="s">
        <v>10</v>
      </c>
      <c r="F11" s="13">
        <v>0</v>
      </c>
      <c r="G11" s="14" t="e">
        <f t="shared" si="0"/>
        <v>#DIV/0!</v>
      </c>
      <c r="H11" s="14">
        <v>0</v>
      </c>
      <c r="I11" s="14" t="e">
        <f t="shared" si="1"/>
        <v>#DIV/0!</v>
      </c>
    </row>
    <row r="12" spans="1:9" x14ac:dyDescent="0.2">
      <c r="E12" s="96" t="s">
        <v>11</v>
      </c>
      <c r="F12" s="13">
        <v>0</v>
      </c>
      <c r="G12" s="14" t="e">
        <f t="shared" si="0"/>
        <v>#DIV/0!</v>
      </c>
      <c r="H12" s="14">
        <v>0</v>
      </c>
      <c r="I12" s="14" t="e">
        <f t="shared" si="1"/>
        <v>#DIV/0!</v>
      </c>
    </row>
    <row r="13" spans="1:9" x14ac:dyDescent="0.2">
      <c r="E13" s="96" t="s">
        <v>12</v>
      </c>
      <c r="F13" s="13">
        <v>0</v>
      </c>
      <c r="G13" s="14" t="e">
        <f t="shared" si="0"/>
        <v>#DIV/0!</v>
      </c>
      <c r="H13" s="14">
        <v>0</v>
      </c>
      <c r="I13" s="14" t="e">
        <f t="shared" si="1"/>
        <v>#DIV/0!</v>
      </c>
    </row>
    <row r="14" spans="1:9" x14ac:dyDescent="0.2">
      <c r="E14" s="96" t="s">
        <v>13</v>
      </c>
      <c r="F14" s="13">
        <v>0</v>
      </c>
      <c r="G14" s="14" t="e">
        <f t="shared" si="0"/>
        <v>#DIV/0!</v>
      </c>
      <c r="H14" s="14">
        <v>0</v>
      </c>
      <c r="I14" s="14" t="e">
        <f t="shared" si="1"/>
        <v>#DIV/0!</v>
      </c>
    </row>
    <row r="15" spans="1:9" x14ac:dyDescent="0.2">
      <c r="E15" s="96" t="s">
        <v>14</v>
      </c>
      <c r="F15" s="13">
        <v>0</v>
      </c>
      <c r="G15" s="14" t="e">
        <f t="shared" si="0"/>
        <v>#DIV/0!</v>
      </c>
      <c r="H15" s="14">
        <v>0</v>
      </c>
      <c r="I15" s="14" t="e">
        <f t="shared" si="1"/>
        <v>#DIV/0!</v>
      </c>
    </row>
    <row r="16" spans="1:9" x14ac:dyDescent="0.2">
      <c r="E16" s="96" t="s">
        <v>15</v>
      </c>
      <c r="F16" s="13">
        <v>0</v>
      </c>
      <c r="G16" s="14" t="e">
        <f t="shared" si="0"/>
        <v>#DIV/0!</v>
      </c>
      <c r="H16" s="14">
        <v>0</v>
      </c>
      <c r="I16" s="14" t="e">
        <f t="shared" si="1"/>
        <v>#DIV/0!</v>
      </c>
    </row>
    <row r="17" spans="5:9" x14ac:dyDescent="0.2">
      <c r="E17" s="96" t="s">
        <v>16</v>
      </c>
      <c r="F17" s="13">
        <v>0</v>
      </c>
      <c r="G17" s="14" t="e">
        <f t="shared" si="0"/>
        <v>#DIV/0!</v>
      </c>
      <c r="H17" s="14">
        <v>0</v>
      </c>
      <c r="I17" s="14" t="e">
        <f t="shared" si="1"/>
        <v>#DIV/0!</v>
      </c>
    </row>
    <row r="18" spans="5:9" x14ac:dyDescent="0.2">
      <c r="E18" s="96" t="s">
        <v>17</v>
      </c>
      <c r="F18" s="13">
        <v>0</v>
      </c>
      <c r="G18" s="14" t="e">
        <f t="shared" si="0"/>
        <v>#DIV/0!</v>
      </c>
      <c r="H18" s="14">
        <v>0</v>
      </c>
      <c r="I18" s="14" t="e">
        <f t="shared" si="1"/>
        <v>#DIV/0!</v>
      </c>
    </row>
    <row r="19" spans="5:9" x14ac:dyDescent="0.2">
      <c r="E19" s="96" t="s">
        <v>18</v>
      </c>
      <c r="F19" s="13">
        <v>0</v>
      </c>
      <c r="G19" s="14" t="e">
        <f t="shared" si="0"/>
        <v>#DIV/0!</v>
      </c>
      <c r="H19" s="14">
        <v>0</v>
      </c>
      <c r="I19" s="14" t="e">
        <f t="shared" si="1"/>
        <v>#DIV/0!</v>
      </c>
    </row>
    <row r="20" spans="5:9" x14ac:dyDescent="0.2">
      <c r="E20" s="96" t="s">
        <v>19</v>
      </c>
      <c r="F20" s="13">
        <v>0</v>
      </c>
      <c r="G20" s="14" t="e">
        <f t="shared" si="0"/>
        <v>#DIV/0!</v>
      </c>
      <c r="H20" s="14">
        <v>0</v>
      </c>
      <c r="I20" s="14" t="e">
        <f t="shared" si="1"/>
        <v>#DIV/0!</v>
      </c>
    </row>
    <row r="21" spans="5:9" x14ac:dyDescent="0.2">
      <c r="E21" s="96" t="s">
        <v>20</v>
      </c>
      <c r="F21" s="13">
        <v>0</v>
      </c>
      <c r="G21" s="14" t="e">
        <f t="shared" si="0"/>
        <v>#DIV/0!</v>
      </c>
      <c r="H21" s="14">
        <v>0</v>
      </c>
      <c r="I21" s="14" t="e">
        <f t="shared" si="1"/>
        <v>#DIV/0!</v>
      </c>
    </row>
    <row r="22" spans="5:9" x14ac:dyDescent="0.2">
      <c r="E22" s="96" t="s">
        <v>21</v>
      </c>
      <c r="F22" s="13">
        <v>0</v>
      </c>
      <c r="G22" s="14" t="e">
        <f t="shared" si="0"/>
        <v>#DIV/0!</v>
      </c>
      <c r="H22" s="14">
        <v>0</v>
      </c>
      <c r="I22" s="14" t="e">
        <f t="shared" si="1"/>
        <v>#DIV/0!</v>
      </c>
    </row>
    <row r="23" spans="5:9" x14ac:dyDescent="0.2">
      <c r="E23" s="96" t="s">
        <v>22</v>
      </c>
      <c r="F23" s="13">
        <v>0</v>
      </c>
      <c r="G23" s="14" t="e">
        <f t="shared" si="0"/>
        <v>#DIV/0!</v>
      </c>
      <c r="H23" s="14">
        <v>0</v>
      </c>
      <c r="I23" s="14" t="e">
        <f t="shared" si="1"/>
        <v>#DIV/0!</v>
      </c>
    </row>
    <row r="24" spans="5:9" x14ac:dyDescent="0.2">
      <c r="E24" s="96" t="s">
        <v>23</v>
      </c>
      <c r="F24" s="13">
        <v>0</v>
      </c>
      <c r="G24" s="14" t="e">
        <f t="shared" si="0"/>
        <v>#DIV/0!</v>
      </c>
      <c r="H24" s="14">
        <v>0</v>
      </c>
      <c r="I24" s="14" t="e">
        <f t="shared" si="1"/>
        <v>#DIV/0!</v>
      </c>
    </row>
    <row r="25" spans="5:9" x14ac:dyDescent="0.2">
      <c r="E25" s="96" t="s">
        <v>24</v>
      </c>
      <c r="F25" s="13">
        <v>0</v>
      </c>
      <c r="G25" s="14" t="e">
        <f t="shared" si="0"/>
        <v>#DIV/0!</v>
      </c>
      <c r="H25" s="14">
        <v>0</v>
      </c>
      <c r="I25" s="14" t="e">
        <f t="shared" si="1"/>
        <v>#DIV/0!</v>
      </c>
    </row>
    <row r="26" spans="5:9" x14ac:dyDescent="0.2">
      <c r="E26" s="96" t="s">
        <v>25</v>
      </c>
      <c r="F26" s="13">
        <v>0</v>
      </c>
      <c r="G26" s="14" t="e">
        <f t="shared" si="0"/>
        <v>#DIV/0!</v>
      </c>
      <c r="H26" s="14">
        <v>0</v>
      </c>
      <c r="I26" s="14" t="e">
        <f t="shared" si="1"/>
        <v>#DIV/0!</v>
      </c>
    </row>
    <row r="27" spans="5:9" x14ac:dyDescent="0.2">
      <c r="E27" s="96" t="s">
        <v>26</v>
      </c>
      <c r="F27" s="13">
        <v>0</v>
      </c>
      <c r="G27" s="14" t="e">
        <f t="shared" si="0"/>
        <v>#DIV/0!</v>
      </c>
      <c r="H27" s="14">
        <v>0</v>
      </c>
      <c r="I27" s="14" t="e">
        <f t="shared" si="1"/>
        <v>#DIV/0!</v>
      </c>
    </row>
    <row r="28" spans="5:9" x14ac:dyDescent="0.2">
      <c r="E28" s="96" t="s">
        <v>27</v>
      </c>
      <c r="F28" s="13">
        <v>0</v>
      </c>
      <c r="G28" s="14" t="e">
        <f t="shared" si="0"/>
        <v>#DIV/0!</v>
      </c>
      <c r="H28" s="14">
        <v>0</v>
      </c>
      <c r="I28" s="14" t="e">
        <f t="shared" si="1"/>
        <v>#DIV/0!</v>
      </c>
    </row>
    <row r="29" spans="5:9" x14ac:dyDescent="0.2">
      <c r="E29" s="96" t="s">
        <v>28</v>
      </c>
      <c r="F29" s="13">
        <v>0</v>
      </c>
      <c r="G29" s="14" t="e">
        <f t="shared" si="0"/>
        <v>#DIV/0!</v>
      </c>
      <c r="H29" s="14">
        <v>0</v>
      </c>
      <c r="I29" s="14" t="e">
        <f t="shared" si="1"/>
        <v>#DIV/0!</v>
      </c>
    </row>
    <row r="30" spans="5:9" x14ac:dyDescent="0.2">
      <c r="E30" s="96" t="s">
        <v>29</v>
      </c>
      <c r="F30" s="13">
        <v>0</v>
      </c>
      <c r="G30" s="14" t="e">
        <f t="shared" si="0"/>
        <v>#DIV/0!</v>
      </c>
      <c r="H30" s="14">
        <v>0</v>
      </c>
      <c r="I30" s="14" t="e">
        <f t="shared" si="1"/>
        <v>#DIV/0!</v>
      </c>
    </row>
    <row r="31" spans="5:9" x14ac:dyDescent="0.2">
      <c r="E31" s="96" t="s">
        <v>30</v>
      </c>
      <c r="F31" s="13">
        <v>0</v>
      </c>
      <c r="G31" s="14" t="e">
        <f t="shared" si="0"/>
        <v>#DIV/0!</v>
      </c>
      <c r="H31" s="14">
        <v>0</v>
      </c>
      <c r="I31" s="14" t="e">
        <f t="shared" si="1"/>
        <v>#DIV/0!</v>
      </c>
    </row>
    <row r="32" spans="5:9" x14ac:dyDescent="0.2">
      <c r="E32" s="96" t="s">
        <v>31</v>
      </c>
      <c r="F32" s="13">
        <v>0</v>
      </c>
      <c r="G32" s="14" t="e">
        <f t="shared" si="0"/>
        <v>#DIV/0!</v>
      </c>
      <c r="H32" s="14">
        <v>0</v>
      </c>
      <c r="I32" s="14" t="e">
        <f t="shared" si="1"/>
        <v>#DIV/0!</v>
      </c>
    </row>
    <row r="33" spans="5:9" x14ac:dyDescent="0.2">
      <c r="E33" s="96" t="s">
        <v>32</v>
      </c>
      <c r="F33" s="13">
        <v>0</v>
      </c>
      <c r="G33" s="14" t="e">
        <f t="shared" si="0"/>
        <v>#DIV/0!</v>
      </c>
      <c r="H33" s="14">
        <v>0</v>
      </c>
      <c r="I33" s="14" t="e">
        <f t="shared" si="1"/>
        <v>#DIV/0!</v>
      </c>
    </row>
    <row r="34" spans="5:9" x14ac:dyDescent="0.2">
      <c r="E34" s="96" t="s">
        <v>33</v>
      </c>
      <c r="F34" s="13">
        <v>0</v>
      </c>
      <c r="G34" s="14" t="e">
        <f t="shared" si="0"/>
        <v>#DIV/0!</v>
      </c>
      <c r="H34" s="14">
        <v>0</v>
      </c>
      <c r="I34" s="14" t="e">
        <f t="shared" si="1"/>
        <v>#DIV/0!</v>
      </c>
    </row>
    <row r="35" spans="5:9" x14ac:dyDescent="0.2">
      <c r="E35" s="96" t="s">
        <v>34</v>
      </c>
      <c r="F35" s="13">
        <v>0</v>
      </c>
      <c r="G35" s="14" t="e">
        <f t="shared" si="0"/>
        <v>#DIV/0!</v>
      </c>
      <c r="H35" s="14">
        <v>0</v>
      </c>
      <c r="I35" s="14" t="e">
        <f t="shared" si="1"/>
        <v>#DIV/0!</v>
      </c>
    </row>
    <row r="36" spans="5:9" x14ac:dyDescent="0.2">
      <c r="E36" s="96" t="s">
        <v>35</v>
      </c>
      <c r="F36" s="13">
        <v>0</v>
      </c>
      <c r="G36" s="14" t="e">
        <f t="shared" si="0"/>
        <v>#DIV/0!</v>
      </c>
      <c r="H36" s="14">
        <v>0</v>
      </c>
      <c r="I36" s="14" t="e">
        <f t="shared" si="1"/>
        <v>#DIV/0!</v>
      </c>
    </row>
    <row r="37" spans="5:9" x14ac:dyDescent="0.2">
      <c r="E37" s="96" t="s">
        <v>36</v>
      </c>
      <c r="F37" s="13">
        <v>0</v>
      </c>
      <c r="G37" s="14" t="e">
        <f t="shared" si="0"/>
        <v>#DIV/0!</v>
      </c>
      <c r="H37" s="14">
        <v>0</v>
      </c>
      <c r="I37" s="14" t="e">
        <f t="shared" si="1"/>
        <v>#DIV/0!</v>
      </c>
    </row>
    <row r="38" spans="5:9" x14ac:dyDescent="0.2">
      <c r="E38" s="96" t="s">
        <v>37</v>
      </c>
      <c r="F38" s="13">
        <v>0</v>
      </c>
      <c r="G38" s="14" t="e">
        <f t="shared" si="0"/>
        <v>#DIV/0!</v>
      </c>
      <c r="H38" s="14">
        <v>0</v>
      </c>
      <c r="I38" s="14" t="e">
        <f t="shared" si="1"/>
        <v>#DIV/0!</v>
      </c>
    </row>
    <row r="39" spans="5:9" x14ac:dyDescent="0.2">
      <c r="E39" s="96" t="s">
        <v>38</v>
      </c>
      <c r="F39" s="13">
        <v>0</v>
      </c>
      <c r="G39" s="14" t="e">
        <f t="shared" si="0"/>
        <v>#DIV/0!</v>
      </c>
      <c r="H39" s="14">
        <v>0</v>
      </c>
      <c r="I39" s="14" t="e">
        <f t="shared" si="1"/>
        <v>#DIV/0!</v>
      </c>
    </row>
    <row r="40" spans="5:9" x14ac:dyDescent="0.2">
      <c r="E40" s="96" t="s">
        <v>39</v>
      </c>
      <c r="F40" s="13">
        <v>0</v>
      </c>
      <c r="G40" s="14" t="e">
        <f t="shared" si="0"/>
        <v>#DIV/0!</v>
      </c>
      <c r="H40" s="14">
        <v>0</v>
      </c>
      <c r="I40" s="14" t="e">
        <f t="shared" si="1"/>
        <v>#DIV/0!</v>
      </c>
    </row>
    <row r="41" spans="5:9" x14ac:dyDescent="0.2">
      <c r="E41" s="96" t="s">
        <v>40</v>
      </c>
      <c r="F41" s="13">
        <v>0</v>
      </c>
      <c r="G41" s="14" t="e">
        <f t="shared" si="0"/>
        <v>#DIV/0!</v>
      </c>
      <c r="H41" s="14">
        <v>0</v>
      </c>
      <c r="I41" s="14" t="e">
        <f t="shared" si="1"/>
        <v>#DIV/0!</v>
      </c>
    </row>
    <row r="42" spans="5:9" x14ac:dyDescent="0.2">
      <c r="E42" s="96" t="s">
        <v>41</v>
      </c>
      <c r="F42" s="13">
        <v>0</v>
      </c>
      <c r="G42" s="14" t="e">
        <f t="shared" si="0"/>
        <v>#DIV/0!</v>
      </c>
      <c r="H42" s="14">
        <v>0</v>
      </c>
      <c r="I42" s="14" t="e">
        <f t="shared" si="1"/>
        <v>#DIV/0!</v>
      </c>
    </row>
    <row r="43" spans="5:9" x14ac:dyDescent="0.2">
      <c r="E43" s="96" t="s">
        <v>42</v>
      </c>
      <c r="F43" s="13">
        <v>0</v>
      </c>
      <c r="G43" s="14" t="e">
        <f t="shared" si="0"/>
        <v>#DIV/0!</v>
      </c>
      <c r="H43" s="14">
        <v>0</v>
      </c>
      <c r="I43" s="14" t="e">
        <f t="shared" si="1"/>
        <v>#DIV/0!</v>
      </c>
    </row>
    <row r="44" spans="5:9" x14ac:dyDescent="0.2">
      <c r="E44" s="96" t="s">
        <v>43</v>
      </c>
      <c r="F44" s="13">
        <v>0</v>
      </c>
      <c r="G44" s="14" t="e">
        <f t="shared" si="0"/>
        <v>#DIV/0!</v>
      </c>
      <c r="H44" s="14">
        <v>0</v>
      </c>
      <c r="I44" s="14" t="e">
        <f t="shared" si="1"/>
        <v>#DIV/0!</v>
      </c>
    </row>
    <row r="45" spans="5:9" x14ac:dyDescent="0.2">
      <c r="E45" s="96" t="s">
        <v>44</v>
      </c>
      <c r="F45" s="13">
        <v>0</v>
      </c>
      <c r="G45" s="14" t="e">
        <f t="shared" si="0"/>
        <v>#DIV/0!</v>
      </c>
      <c r="H45" s="14">
        <v>0</v>
      </c>
      <c r="I45" s="14" t="e">
        <f t="shared" si="1"/>
        <v>#DIV/0!</v>
      </c>
    </row>
    <row r="46" spans="5:9" x14ac:dyDescent="0.2">
      <c r="E46" s="96" t="s">
        <v>45</v>
      </c>
      <c r="F46" s="13">
        <v>0</v>
      </c>
      <c r="G46" s="14" t="e">
        <f t="shared" si="0"/>
        <v>#DIV/0!</v>
      </c>
      <c r="H46" s="14">
        <v>0</v>
      </c>
      <c r="I46" s="14" t="e">
        <f t="shared" si="1"/>
        <v>#DIV/0!</v>
      </c>
    </row>
    <row r="47" spans="5:9" x14ac:dyDescent="0.2">
      <c r="E47" s="96" t="s">
        <v>46</v>
      </c>
      <c r="F47" s="13">
        <v>0</v>
      </c>
      <c r="G47" s="14" t="e">
        <f t="shared" si="0"/>
        <v>#DIV/0!</v>
      </c>
      <c r="H47" s="14">
        <v>0</v>
      </c>
      <c r="I47" s="14" t="e">
        <f t="shared" si="1"/>
        <v>#DIV/0!</v>
      </c>
    </row>
    <row r="48" spans="5:9" x14ac:dyDescent="0.2">
      <c r="E48" s="96" t="s">
        <v>47</v>
      </c>
      <c r="F48" s="13">
        <v>0</v>
      </c>
      <c r="G48" s="14" t="e">
        <f t="shared" si="0"/>
        <v>#DIV/0!</v>
      </c>
      <c r="H48" s="14">
        <v>0</v>
      </c>
      <c r="I48" s="14" t="e">
        <f t="shared" si="1"/>
        <v>#DIV/0!</v>
      </c>
    </row>
    <row r="49" spans="5:9" x14ac:dyDescent="0.2">
      <c r="E49" s="96" t="s">
        <v>48</v>
      </c>
      <c r="F49" s="13">
        <v>0</v>
      </c>
      <c r="G49" s="14" t="e">
        <f t="shared" si="0"/>
        <v>#DIV/0!</v>
      </c>
      <c r="H49" s="14">
        <v>0</v>
      </c>
      <c r="I49" s="14" t="e">
        <f t="shared" si="1"/>
        <v>#DIV/0!</v>
      </c>
    </row>
    <row r="50" spans="5:9" x14ac:dyDescent="0.2">
      <c r="E50" s="96" t="s">
        <v>49</v>
      </c>
      <c r="F50" s="13">
        <v>0</v>
      </c>
      <c r="G50" s="14" t="e">
        <f t="shared" si="0"/>
        <v>#DIV/0!</v>
      </c>
      <c r="H50" s="14">
        <v>0</v>
      </c>
      <c r="I50" s="14" t="e">
        <f t="shared" si="1"/>
        <v>#DIV/0!</v>
      </c>
    </row>
    <row r="51" spans="5:9" x14ac:dyDescent="0.2">
      <c r="E51" s="96" t="s">
        <v>50</v>
      </c>
      <c r="F51" s="13">
        <v>0</v>
      </c>
      <c r="G51" s="14" t="e">
        <f t="shared" si="0"/>
        <v>#DIV/0!</v>
      </c>
      <c r="H51" s="14">
        <v>0</v>
      </c>
      <c r="I51" s="14" t="e">
        <f t="shared" si="1"/>
        <v>#DIV/0!</v>
      </c>
    </row>
    <row r="52" spans="5:9" x14ac:dyDescent="0.2">
      <c r="E52" s="96" t="s">
        <v>51</v>
      </c>
      <c r="F52" s="13">
        <v>0</v>
      </c>
      <c r="G52" s="14" t="e">
        <f t="shared" si="0"/>
        <v>#DIV/0!</v>
      </c>
      <c r="H52" s="14">
        <v>0</v>
      </c>
      <c r="I52" s="14" t="e">
        <f t="shared" si="1"/>
        <v>#DIV/0!</v>
      </c>
    </row>
    <row r="53" spans="5:9" x14ac:dyDescent="0.2">
      <c r="E53" s="96" t="s">
        <v>52</v>
      </c>
      <c r="F53" s="13">
        <v>0</v>
      </c>
      <c r="G53" s="14" t="e">
        <f t="shared" si="0"/>
        <v>#DIV/0!</v>
      </c>
      <c r="H53" s="14">
        <v>0</v>
      </c>
      <c r="I53" s="14" t="e">
        <f t="shared" si="1"/>
        <v>#DIV/0!</v>
      </c>
    </row>
    <row r="54" spans="5:9" x14ac:dyDescent="0.2">
      <c r="E54" s="98"/>
      <c r="F54" s="9"/>
      <c r="G54" s="6"/>
      <c r="H54" s="6"/>
      <c r="I54" s="6"/>
    </row>
    <row r="55" spans="5:9" x14ac:dyDescent="0.2">
      <c r="E55" s="97" t="s">
        <v>64</v>
      </c>
      <c r="F55" s="7">
        <f>SUM(F4:F53)</f>
        <v>0</v>
      </c>
      <c r="G55" s="12" t="s">
        <v>65</v>
      </c>
      <c r="H55" s="8">
        <f>SUM(H4:H53)</f>
        <v>0</v>
      </c>
      <c r="I55" s="10"/>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Tuto-Import</vt:lpstr>
      <vt:lpstr>Tuto-Export</vt:lpstr>
      <vt:lpstr>Accueil</vt:lpstr>
      <vt:lpstr>Trajets</vt:lpstr>
      <vt:lpstr>Donnees-Recap</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Pierrick -</cp:lastModifiedBy>
  <dcterms:created xsi:type="dcterms:W3CDTF">2016-07-02T15:54:45Z</dcterms:created>
  <dcterms:modified xsi:type="dcterms:W3CDTF">2020-06-16T08:31:03Z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iteId">
    <vt:lpwstr>d852d5cd-724c-4128-8812-ffa5db3f8507</vt:lpwstr>
  </property>
  <property fmtid="{D5CDD505-2E9C-101B-9397-08002B2CF9AE}" pid="4" name="MSIP_Label_2fd53d93-3f4c-4b90-b511-bd6bdbb4fba9_Owner">
    <vt:lpwstr>P523783@inetpsa.com</vt:lpwstr>
  </property>
  <property fmtid="{D5CDD505-2E9C-101B-9397-08002B2CF9AE}" pid="5" name="MSIP_Label_2fd53d93-3f4c-4b90-b511-bd6bdbb4fba9_SetDate">
    <vt:lpwstr>2020-04-08T08:22:07.2130207Z</vt:lpwstr>
  </property>
  <property fmtid="{D5CDD505-2E9C-101B-9397-08002B2CF9AE}" pid="6" name="MSIP_Label_2fd53d93-3f4c-4b90-b511-bd6bdbb4fba9_Name">
    <vt:lpwstr>C2 - PSA Sensitive</vt:lpwstr>
  </property>
  <property fmtid="{D5CDD505-2E9C-101B-9397-08002B2CF9AE}" pid="7" name="MSIP_Label_2fd53d93-3f4c-4b90-b511-bd6bdbb4fba9_Application">
    <vt:lpwstr>Microsoft Azure Information Protection</vt:lpwstr>
  </property>
  <property fmtid="{D5CDD505-2E9C-101B-9397-08002B2CF9AE}" pid="8" name="MSIP_Label_2fd53d93-3f4c-4b90-b511-bd6bdbb4fba9_Extended_MSFT_Method">
    <vt:lpwstr>Automatic</vt:lpwstr>
  </property>
  <property fmtid="{D5CDD505-2E9C-101B-9397-08002B2CF9AE}" pid="9" name="Sensitivity">
    <vt:lpwstr>C2 - PSA Sensitive</vt:lpwstr>
  </property>
</Properties>
</file>