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pivotTables/pivotTable1.xml" ContentType="application/vnd.openxmlformats-officedocument.spreadsheetml.pivotTable+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4.xml" ContentType="application/vnd.openxmlformats-officedocument.drawing+xml"/>
  <Override PartName="/xl/ctrlProps/ctrlProp12.xml" ContentType="application/vnd.ms-excel.controlproperties+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mc:AlternateContent xmlns:mc="http://schemas.openxmlformats.org/markup-compatibility/2006">
    <mc:Choice Requires="x15">
      <x15ac:absPath xmlns:x15ac="http://schemas.microsoft.com/office/spreadsheetml/2010/11/ac" url="C:\Users\Pierrick\GitHub\Importation-Excel-Donnees-MyPeugeot--Versions-Betas\Fichiers XLSM - Versions Release\"/>
    </mc:Choice>
  </mc:AlternateContent>
  <xr:revisionPtr revIDLastSave="0" documentId="13_ncr:1_{34EFB236-6BCA-4531-8BE7-8561D062D53C}" xr6:coauthVersionLast="45" xr6:coauthVersionMax="45" xr10:uidLastSave="{00000000-0000-0000-0000-000000000000}"/>
  <bookViews>
    <workbookView xWindow="-120" yWindow="285" windowWidth="21840" windowHeight="12915" tabRatio="744" activeTab="2" xr2:uid="{00000000-000D-0000-FFFF-FFFF00000000}"/>
  </bookViews>
  <sheets>
    <sheet name="Tuto-Import" sheetId="19" r:id="rId1"/>
    <sheet name="Tuto-Export" sheetId="20" r:id="rId2"/>
    <sheet name="Accueil" sheetId="17" r:id="rId3"/>
    <sheet name="Trajets" sheetId="12" r:id="rId4"/>
    <sheet name="Donnees-Recap" sheetId="21" r:id="rId5"/>
  </sheets>
  <functionGroups builtInGroupCount="19"/>
  <definedNames>
    <definedName name="_xlnm._FilterDatabase" localSheetId="3" hidden="1">Trajets!$A$2:$B$2</definedName>
  </definedNames>
  <calcPr calcId="191029"/>
  <pivotCaches>
    <pivotCache cacheId="6" r:id="rId6"/>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55" i="21" l="1"/>
  <c r="I51" i="21" s="1"/>
  <c r="F55" i="21"/>
  <c r="G52" i="21" s="1"/>
  <c r="F1" i="21"/>
  <c r="G4" i="21" l="1"/>
  <c r="G12" i="21"/>
  <c r="I9" i="21"/>
  <c r="I4" i="21"/>
  <c r="I14" i="21"/>
  <c r="I6" i="21"/>
  <c r="G22" i="21"/>
  <c r="G24" i="21"/>
  <c r="G6" i="21"/>
  <c r="G16" i="21"/>
  <c r="G5" i="21"/>
  <c r="G10" i="21"/>
  <c r="G18" i="21"/>
  <c r="G35" i="21"/>
  <c r="G53" i="21"/>
  <c r="G26" i="21"/>
  <c r="G8" i="21"/>
  <c r="G14" i="21"/>
  <c r="G20" i="21"/>
  <c r="G28" i="21"/>
  <c r="I22" i="21"/>
  <c r="I31" i="21"/>
  <c r="I52" i="21"/>
  <c r="I7" i="21"/>
  <c r="I15" i="21"/>
  <c r="I20" i="21"/>
  <c r="I23" i="21"/>
  <c r="I28" i="21"/>
  <c r="I32" i="21"/>
  <c r="I35" i="21"/>
  <c r="I40" i="21"/>
  <c r="I45" i="21"/>
  <c r="I17" i="21"/>
  <c r="I25" i="21"/>
  <c r="I39" i="21"/>
  <c r="I43" i="21"/>
  <c r="I12" i="21"/>
  <c r="I13" i="21"/>
  <c r="I21" i="21"/>
  <c r="I29" i="21"/>
  <c r="I53" i="21"/>
  <c r="I5" i="21"/>
  <c r="I10" i="21"/>
  <c r="I18" i="21"/>
  <c r="I26" i="21"/>
  <c r="I33" i="21"/>
  <c r="I36" i="21"/>
  <c r="I41" i="21"/>
  <c r="I46" i="21"/>
  <c r="I8" i="21"/>
  <c r="I11" i="21"/>
  <c r="I16" i="21"/>
  <c r="I19" i="21"/>
  <c r="I24" i="21"/>
  <c r="I27" i="21"/>
  <c r="I30" i="21"/>
  <c r="I34" i="21"/>
  <c r="I38" i="21"/>
  <c r="I42" i="21"/>
  <c r="I48" i="21"/>
  <c r="I49" i="21"/>
  <c r="G7" i="21"/>
  <c r="G9" i="21"/>
  <c r="G11" i="21"/>
  <c r="G13" i="21"/>
  <c r="G15" i="21"/>
  <c r="G17" i="21"/>
  <c r="G19" i="21"/>
  <c r="G21" i="21"/>
  <c r="G23" i="21"/>
  <c r="G25" i="21"/>
  <c r="G27" i="21"/>
  <c r="G29" i="21"/>
  <c r="G44" i="21"/>
  <c r="G31" i="21"/>
  <c r="G37" i="21"/>
  <c r="I37" i="21"/>
  <c r="I44" i="21"/>
  <c r="G39" i="21"/>
  <c r="G46" i="21"/>
  <c r="I50" i="21"/>
  <c r="G51" i="21"/>
  <c r="G33" i="21"/>
  <c r="G42" i="21"/>
  <c r="I47" i="21"/>
  <c r="G30" i="21"/>
  <c r="G32" i="21"/>
  <c r="G34" i="21"/>
  <c r="G36" i="21"/>
  <c r="G38" i="21"/>
  <c r="G40" i="21"/>
  <c r="G48" i="21"/>
  <c r="G41" i="21"/>
  <c r="G43" i="21"/>
  <c r="G45" i="21"/>
  <c r="G47" i="21"/>
  <c r="G49" i="21"/>
  <c r="G50" i="21"/>
  <c r="H1" i="17"/>
  <c r="I4" i="17"/>
</calcChain>
</file>

<file path=xl/sharedStrings.xml><?xml version="1.0" encoding="utf-8"?>
<sst xmlns="http://schemas.openxmlformats.org/spreadsheetml/2006/main" count="157" uniqueCount="148">
  <si>
    <t>% en nbre</t>
  </si>
  <si>
    <t>% en dist</t>
  </si>
  <si>
    <t>km</t>
  </si>
  <si>
    <t>0-10</t>
  </si>
  <si>
    <t>10-20</t>
  </si>
  <si>
    <t>20-30</t>
  </si>
  <si>
    <t>30-40</t>
  </si>
  <si>
    <t>40-50</t>
  </si>
  <si>
    <t>50-60</t>
  </si>
  <si>
    <t>60-70</t>
  </si>
  <si>
    <t>70-80</t>
  </si>
  <si>
    <t>80-90</t>
  </si>
  <si>
    <t>90-100</t>
  </si>
  <si>
    <t>100-110</t>
  </si>
  <si>
    <t>110-120</t>
  </si>
  <si>
    <t>120-130</t>
  </si>
  <si>
    <t>130-140</t>
  </si>
  <si>
    <t>140-150</t>
  </si>
  <si>
    <t>150-160</t>
  </si>
  <si>
    <t>160-170</t>
  </si>
  <si>
    <t>170-180</t>
  </si>
  <si>
    <t>180-190</t>
  </si>
  <si>
    <t>190-200</t>
  </si>
  <si>
    <t>200-210</t>
  </si>
  <si>
    <t>210-220</t>
  </si>
  <si>
    <t>220-230</t>
  </si>
  <si>
    <t>230-240</t>
  </si>
  <si>
    <t>240-250</t>
  </si>
  <si>
    <t>250-260</t>
  </si>
  <si>
    <t>260-270</t>
  </si>
  <si>
    <t>270-280</t>
  </si>
  <si>
    <t>280-290</t>
  </si>
  <si>
    <t>290-300</t>
  </si>
  <si>
    <t>300-310</t>
  </si>
  <si>
    <t>310-320</t>
  </si>
  <si>
    <t>320-330</t>
  </si>
  <si>
    <t>330-340</t>
  </si>
  <si>
    <t>340-350</t>
  </si>
  <si>
    <t>350-360</t>
  </si>
  <si>
    <t>360-370</t>
  </si>
  <si>
    <t>370-380</t>
  </si>
  <si>
    <t>380-390</t>
  </si>
  <si>
    <t>390-400</t>
  </si>
  <si>
    <t>400-410</t>
  </si>
  <si>
    <t>410-420</t>
  </si>
  <si>
    <t>420-430</t>
  </si>
  <si>
    <t>430-440</t>
  </si>
  <si>
    <t>440-450</t>
  </si>
  <si>
    <t>450-460</t>
  </si>
  <si>
    <t>460-470</t>
  </si>
  <si>
    <t>470-480</t>
  </si>
  <si>
    <t>480-490</t>
  </si>
  <si>
    <t>490-500</t>
  </si>
  <si>
    <t>nb de trajets</t>
  </si>
  <si>
    <t>Trip id#</t>
  </si>
  <si>
    <t>distance (km)</t>
  </si>
  <si>
    <t>Début</t>
  </si>
  <si>
    <t>Fin</t>
  </si>
  <si>
    <t>Niveau de carburant (%)</t>
  </si>
  <si>
    <t>Jour</t>
  </si>
  <si>
    <t>Mois</t>
  </si>
  <si>
    <t>Dist max / j</t>
  </si>
  <si>
    <t>Distance Mensuelle (km)</t>
  </si>
  <si>
    <t>Distance du jour (km)</t>
  </si>
  <si>
    <t>Nb. Trajets</t>
  </si>
  <si>
    <t>Total km :</t>
  </si>
  <si>
    <t>Durée (h:min)</t>
  </si>
  <si>
    <t>Autonomie restante (km)</t>
  </si>
  <si>
    <t>Chemin d'accès du fichier :</t>
  </si>
  <si>
    <t>VIN(s)</t>
  </si>
  <si>
    <t>Distance totale</t>
  </si>
  <si>
    <t>Distance trajet</t>
  </si>
  <si>
    <t>Conso L/100 km</t>
  </si>
  <si>
    <t>Conso L/trajet</t>
  </si>
  <si>
    <t>Adresse de Départ</t>
  </si>
  <si>
    <t>Latitude Départ</t>
  </si>
  <si>
    <t>Longitude Départ</t>
  </si>
  <si>
    <t>Latitude Arrivée</t>
  </si>
  <si>
    <t>Longitude Arrivée</t>
  </si>
  <si>
    <t>Adresse d'arrivée_x000D_</t>
  </si>
  <si>
    <t>Version du fichier</t>
  </si>
  <si>
    <t>Kilométrage total</t>
  </si>
  <si>
    <t>Conso Totale (L)</t>
  </si>
  <si>
    <t>Nombre de trajets</t>
  </si>
  <si>
    <t>Conso Moyenne L/100 km</t>
  </si>
  <si>
    <t>VIN</t>
  </si>
  <si>
    <t>Info véhicule :</t>
  </si>
  <si>
    <t>Kilométrage actuel de la voiture</t>
  </si>
  <si>
    <t/>
  </si>
  <si>
    <t>Ne rien modifier ici</t>
  </si>
  <si>
    <t>Description véhicule</t>
  </si>
  <si>
    <t>Vous pouvez modifier ici la description des véhicules, mais ne changer par les VINs et leur nombre !</t>
  </si>
  <si>
    <t>Coordonnées</t>
  </si>
  <si>
    <t>Longitude :</t>
  </si>
  <si>
    <t>Latitude :</t>
  </si>
  <si>
    <t xml:space="preserve">Dernière adresse connue </t>
  </si>
  <si>
    <t>Ceci ne fonctionne que si UN seul VIN est sélectionné dans le tableau en F3</t>
  </si>
  <si>
    <t>Km début trajet</t>
  </si>
  <si>
    <t>Distance</t>
  </si>
  <si>
    <t>Adresse
destination</t>
  </si>
  <si>
    <t>Quality
Destination</t>
  </si>
  <si>
    <t>Jours avant maintenance</t>
  </si>
  <si>
    <t>Distance avant maintenance</t>
  </si>
  <si>
    <t>Maintenance faite</t>
  </si>
  <si>
    <t>Quality pos départ</t>
  </si>
  <si>
    <t>Quality pos arrivée</t>
  </si>
  <si>
    <t>Alertes actives</t>
  </si>
  <si>
    <t>Alertes résolues</t>
  </si>
  <si>
    <t>Dans ces colonnes figurera des données peu utile au quotidien, mais utilisées pour reconstruire le fichier JSON de données.</t>
  </si>
  <si>
    <t>Temps UNIX Début</t>
  </si>
  <si>
    <t>Temps UNIX Fin</t>
  </si>
  <si>
    <t>Marque</t>
  </si>
  <si>
    <t>startPosAltitude</t>
  </si>
  <si>
    <t>endPosAltitude</t>
  </si>
  <si>
    <t>destLongitude</t>
  </si>
  <si>
    <t>destLatitude</t>
  </si>
  <si>
    <t>Explications sur la fonction d'export des données</t>
  </si>
  <si>
    <t>1. Il faut bien entendu que des données aient étés au préalable importées.</t>
  </si>
  <si>
    <t>2. Si vous avez plusieurs véhicules, donc plusieurs VINs, vous ne pourrez exporter que ceux d'une même marque.</t>
  </si>
  <si>
    <t>3. Il est possible de modifier les données, à vos risques et périls, sauf en suivant ces consignes :</t>
  </si>
  <si>
    <t>a) Ne jamais modifier des valeurs numériques sans savoir exactement ce que vous faites.</t>
  </si>
  <si>
    <t>b) Modifier les adresses en respectant cette mise en forme :</t>
  </si>
  <si>
    <t>3 Rue de la Forge, 12345 La Ville</t>
  </si>
  <si>
    <r>
      <t xml:space="preserve">Il faut que l'adresse et le code postal soit séparés </t>
    </r>
    <r>
      <rPr>
        <b/>
        <i/>
        <u/>
        <sz val="14"/>
        <color rgb="FFC00000"/>
        <rFont val="Calibri"/>
        <family val="2"/>
        <scheme val="minor"/>
      </rPr>
      <t>exactement</t>
    </r>
    <r>
      <rPr>
        <i/>
        <sz val="14"/>
        <color rgb="FFC00000"/>
        <rFont val="Calibri"/>
        <family val="2"/>
        <scheme val="minor"/>
      </rPr>
      <t xml:space="preserve"> par une virgule et un espace après la virgule.</t>
    </r>
  </si>
  <si>
    <t>d) Toujours pour les adresses, vous pouvez mettre des caractères accentués si vous vérifiez toujours que dans le fichier exporté ils sont correctement écrit. (J'ai essayé de convertir tous les caractères accentués utilisés dans la langue Française, mais j'ai pu en oublier).</t>
  </si>
  <si>
    <r>
      <t xml:space="preserve">c) Toujours pour les adresses, </t>
    </r>
    <r>
      <rPr>
        <b/>
        <u/>
        <sz val="14"/>
        <rFont val="Calibri"/>
        <family val="2"/>
        <scheme val="minor"/>
      </rPr>
      <t>ne surtout pas faire de retour à la ligne dans excel !!</t>
    </r>
    <r>
      <rPr>
        <sz val="14"/>
        <rFont val="Calibri"/>
        <family val="2"/>
        <scheme val="minor"/>
      </rPr>
      <t xml:space="preserve"> Relire le paragraphe précédent.</t>
    </r>
  </si>
  <si>
    <t>Légende couleurs utilisées dans le détail des trajets</t>
  </si>
  <si>
    <t>Texte en vert/gras</t>
  </si>
  <si>
    <t>Signifie qu'un plein a été détecté</t>
  </si>
  <si>
    <t>Valeur reconstituée par programme suite à valeur manquante ou erronée</t>
  </si>
  <si>
    <t>Fond en orange</t>
  </si>
  <si>
    <t>Adresses recalculées par le programme</t>
  </si>
  <si>
    <t>Texte en rouge/gras</t>
  </si>
  <si>
    <t>Texte en bleu/gras</t>
  </si>
  <si>
    <t>Signifie que des valeurs sont manquantes ou son aberrantes</t>
  </si>
  <si>
    <r>
      <t xml:space="preserve">// </t>
    </r>
    <r>
      <rPr>
        <sz val="11"/>
        <rFont val="Calibri"/>
        <family val="2"/>
        <scheme val="minor"/>
      </rPr>
      <t>pour 
Conso L/100 km</t>
    </r>
  </si>
  <si>
    <t>Signifie que la valeur ne peut être calculée pour une consomation au 100km parce que la distance parcourue ou la consommation L est nulle ou trop faible.</t>
  </si>
  <si>
    <t>Explications de certaines valeurs écrites</t>
  </si>
  <si>
    <t>\\ NC</t>
  </si>
  <si>
    <t>Texte en rose/gras</t>
  </si>
  <si>
    <t>Signifie que des valeurs n'ont pas pu être reconstituées</t>
  </si>
  <si>
    <t>Réserve atteinte</t>
  </si>
  <si>
    <t>Signifie que la valeur importée vallait -1 dans le fichier de données.</t>
  </si>
  <si>
    <t>Signifie que la valeur n'a pas pu être calculée.</t>
  </si>
  <si>
    <r>
      <t>//</t>
    </r>
    <r>
      <rPr>
        <sz val="11"/>
        <rFont val="Calibri"/>
        <family val="2"/>
        <scheme val="minor"/>
      </rPr>
      <t xml:space="preserve"> pour autonomie</t>
    </r>
  </si>
  <si>
    <t>La réserve est atteinre (valeur de -1 dans le fichier de données).</t>
  </si>
  <si>
    <t>(vide)</t>
  </si>
  <si>
    <t>v2.3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</si>
</sst>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0.0000000"/>
    <numFmt numFmtId="166" formatCode="dd/mm/yy;@"/>
    <numFmt numFmtId="167" formatCode="dd/mm/yy\ \-\ hh:mm"/>
    <numFmt numFmtId="168" formatCode="0\ %"/>
    <numFmt numFmtId="169" formatCode="[h]:mm"/>
  </numFmts>
  <fonts count="47" x14ac:knownFonts="1">
    <font>
      <sz val="10"/>
      <name val="Arial"/>
    </font>
    <font>
      <sz val="10"/>
      <name val="Calibri"/>
      <family val="2"/>
    </font>
    <font>
      <i/>
      <sz val="10"/>
      <color indexed="9"/>
      <name val="Calibri"/>
      <family val="2"/>
    </font>
    <font>
      <b/>
      <sz val="12"/>
      <name val="Calibri"/>
      <family val="2"/>
    </font>
    <font>
      <sz val="12"/>
      <name val="Calibri"/>
      <family val="2"/>
    </font>
    <font>
      <i/>
      <sz val="11"/>
      <color indexed="9"/>
      <name val="Calibri"/>
      <family val="2"/>
    </font>
    <font>
      <b/>
      <sz val="10"/>
      <name val="Calibri"/>
      <family val="2"/>
      <scheme val="minor"/>
    </font>
    <font>
      <sz val="10"/>
      <name val="Calibri"/>
      <family val="2"/>
      <scheme val="minor"/>
    </font>
    <font>
      <sz val="8"/>
      <name val="Calibri"/>
      <family val="2"/>
    </font>
    <font>
      <sz val="10"/>
      <name val="Arial"/>
      <family val="2"/>
    </font>
    <font>
      <b/>
      <sz val="10"/>
      <color rgb="FF000080"/>
      <name val="Calibri"/>
      <family val="2"/>
    </font>
    <font>
      <b/>
      <i/>
      <sz val="10"/>
      <color theme="9" tint="0.79998168889431442"/>
      <name val="Calibri"/>
      <family val="2"/>
      <scheme val="minor"/>
    </font>
    <font>
      <b/>
      <i/>
      <sz val="16"/>
      <color theme="9" tint="0.79998168889431442"/>
      <name val="Calibri"/>
      <family val="2"/>
      <scheme val="minor"/>
    </font>
    <font>
      <b/>
      <sz val="11"/>
      <name val="Calibri"/>
      <family val="2"/>
      <scheme val="minor"/>
    </font>
    <font>
      <sz val="11"/>
      <name val="Calibri"/>
      <family val="2"/>
      <scheme val="minor"/>
    </font>
    <font>
      <i/>
      <sz val="11"/>
      <name val="Calibri"/>
      <family val="2"/>
      <scheme val="minor"/>
    </font>
    <font>
      <b/>
      <i/>
      <sz val="11"/>
      <name val="Calibri"/>
      <family val="2"/>
      <scheme val="minor"/>
    </font>
    <font>
      <i/>
      <sz val="10"/>
      <name val="Calibri"/>
      <family val="2"/>
    </font>
    <font>
      <b/>
      <sz val="11"/>
      <color theme="1"/>
      <name val="Calibri"/>
      <family val="2"/>
      <scheme val="minor"/>
    </font>
    <font>
      <sz val="12"/>
      <color rgb="FF000080"/>
      <name val="Calibri"/>
      <family val="2"/>
    </font>
    <font>
      <sz val="12"/>
      <color rgb="FF008000"/>
      <name val="Calibri"/>
      <family val="2"/>
    </font>
    <font>
      <sz val="10"/>
      <color rgb="FF000080"/>
      <name val="Calibri"/>
      <family val="2"/>
    </font>
    <font>
      <sz val="12"/>
      <name val="Calibri"/>
      <family val="2"/>
      <scheme val="minor"/>
    </font>
    <font>
      <sz val="11"/>
      <name val="Segoe UI Emoji"/>
      <family val="2"/>
    </font>
    <font>
      <sz val="10"/>
      <name val="Segoe UI Emoji"/>
      <family val="2"/>
    </font>
    <font>
      <sz val="14"/>
      <name val="Calibri"/>
      <family val="2"/>
      <scheme val="minor"/>
    </font>
    <font>
      <i/>
      <sz val="14"/>
      <color rgb="FFC00000"/>
      <name val="Calibri"/>
      <family val="2"/>
      <scheme val="minor"/>
    </font>
    <font>
      <b/>
      <i/>
      <u/>
      <sz val="14"/>
      <color rgb="FFC00000"/>
      <name val="Calibri"/>
      <family val="2"/>
      <scheme val="minor"/>
    </font>
    <font>
      <b/>
      <i/>
      <u/>
      <sz val="28"/>
      <color theme="9" tint="-0.249977111117893"/>
      <name val="Calibri"/>
      <family val="2"/>
      <scheme val="minor"/>
    </font>
    <font>
      <b/>
      <sz val="14"/>
      <color rgb="FF0070C0"/>
      <name val="Calibri"/>
      <family val="2"/>
      <scheme val="minor"/>
    </font>
    <font>
      <b/>
      <u/>
      <sz val="14"/>
      <name val="Calibri"/>
      <family val="2"/>
      <scheme val="minor"/>
    </font>
    <font>
      <sz val="9"/>
      <name val="Calibri"/>
      <family val="2"/>
      <scheme val="minor"/>
    </font>
    <font>
      <sz val="11"/>
      <color rgb="FF993300"/>
      <name val="Calibri"/>
      <family val="2"/>
    </font>
    <font>
      <sz val="12"/>
      <color rgb="FF333333"/>
      <name val="Calibri"/>
      <family val="2"/>
    </font>
    <font>
      <sz val="12"/>
      <color rgb="FF0000FF"/>
      <name val="Calibri"/>
      <family val="2"/>
    </font>
    <font>
      <sz val="11"/>
      <color rgb="FFFF0000"/>
      <name val="Calibri"/>
      <family val="2"/>
    </font>
    <font>
      <sz val="8"/>
      <name val="Calibri"/>
      <family val="2"/>
      <scheme val="minor"/>
    </font>
    <font>
      <sz val="8"/>
      <color theme="0"/>
      <name val="Calibri"/>
      <family val="2"/>
      <scheme val="minor"/>
    </font>
    <font>
      <sz val="11"/>
      <color rgb="FFFF9900"/>
      <name val="Calibri"/>
      <family val="2"/>
    </font>
    <font>
      <b/>
      <sz val="10"/>
      <color rgb="FF00B050"/>
      <name val="Calibri"/>
      <family val="2"/>
    </font>
    <font>
      <b/>
      <sz val="11"/>
      <color rgb="FFFF0000"/>
      <name val="Calibri"/>
      <family val="2"/>
      <scheme val="minor"/>
    </font>
    <font>
      <b/>
      <sz val="11"/>
      <color rgb="FF00B050"/>
      <name val="Calibri"/>
      <family val="2"/>
      <scheme val="minor"/>
    </font>
    <font>
      <b/>
      <u/>
      <sz val="11"/>
      <name val="Calibri"/>
      <family val="2"/>
      <scheme val="minor"/>
    </font>
    <font>
      <b/>
      <sz val="11"/>
      <color rgb="FF4100C2"/>
      <name val="Calibri"/>
      <family val="2"/>
      <scheme val="minor"/>
    </font>
    <font>
      <b/>
      <sz val="11"/>
      <color rgb="FFC0008E"/>
      <name val="Calibri"/>
      <family val="2"/>
      <scheme val="minor"/>
    </font>
    <font>
      <b/>
      <i/>
      <sz val="11"/>
      <color rgb="FFFF0000"/>
      <name val="Calibri"/>
      <family val="2"/>
      <scheme val="minor"/>
    </font>
    <font>
      <b/>
      <sz val="11"/>
      <color rgb="FFC00000"/>
      <name val="Calibri"/>
      <family val="2"/>
      <scheme val="minor"/>
    </font>
  </fonts>
  <fills count="16">
    <fill>
      <patternFill patternType="none"/>
    </fill>
    <fill>
      <patternFill patternType="gray125"/>
    </fill>
    <fill>
      <patternFill patternType="solid">
        <fgColor theme="0" tint="-0.14999847407452621"/>
        <bgColor indexed="64"/>
      </patternFill>
    </fill>
    <fill>
      <patternFill patternType="solid">
        <fgColor theme="1" tint="0.34998626667073579"/>
        <bgColor indexed="64"/>
      </patternFill>
    </fill>
    <fill>
      <patternFill patternType="solid">
        <fgColor theme="8" tint="0.59999389629810485"/>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theme="5"/>
        <bgColor indexed="64"/>
      </patternFill>
    </fill>
    <fill>
      <patternFill patternType="solid">
        <fgColor theme="0"/>
        <bgColor indexed="64"/>
      </patternFill>
    </fill>
    <fill>
      <patternFill patternType="solid">
        <fgColor theme="6"/>
        <bgColor indexed="64"/>
      </patternFill>
    </fill>
    <fill>
      <patternFill patternType="solid">
        <fgColor theme="0" tint="-4.9989318521683403E-2"/>
        <bgColor indexed="64"/>
      </patternFill>
    </fill>
    <fill>
      <patternFill patternType="solid">
        <fgColor theme="4" tint="0.79998168889431442"/>
        <bgColor theme="4" tint="0.79998168889431442"/>
      </patternFill>
    </fill>
    <fill>
      <patternFill patternType="solid">
        <fgColor theme="6" tint="0.79998168889431442"/>
        <bgColor indexed="64"/>
      </patternFill>
    </fill>
    <fill>
      <patternFill patternType="solid">
        <fgColor rgb="FFFFC000"/>
        <bgColor indexed="64"/>
      </patternFill>
    </fill>
    <fill>
      <patternFill patternType="solid">
        <fgColor rgb="FFFFFF00"/>
        <bgColor indexed="64"/>
      </patternFill>
    </fill>
  </fills>
  <borders count="38">
    <border>
      <left/>
      <right/>
      <top/>
      <bottom/>
      <diagonal/>
    </border>
    <border>
      <left style="thin">
        <color indexed="64"/>
      </left>
      <right/>
      <top/>
      <bottom/>
      <diagonal/>
    </border>
    <border>
      <left/>
      <right style="dotted">
        <color auto="1"/>
      </right>
      <top/>
      <bottom/>
      <diagonal/>
    </border>
    <border>
      <left style="thin">
        <color theme="1" tint="0.24994659260841701"/>
      </left>
      <right style="thin">
        <color theme="1" tint="0.24994659260841701"/>
      </right>
      <top/>
      <bottom/>
      <diagonal/>
    </border>
    <border>
      <left style="thin">
        <color theme="1" tint="0.24994659260841701"/>
      </left>
      <right/>
      <top/>
      <bottom/>
      <diagonal/>
    </border>
    <border>
      <left/>
      <right style="thin">
        <color theme="1" tint="0.24994659260841701"/>
      </right>
      <top/>
      <bottom/>
      <diagonal/>
    </border>
    <border>
      <left style="thin">
        <color theme="0"/>
      </left>
      <right style="thin">
        <color theme="0"/>
      </right>
      <top style="thin">
        <color theme="0"/>
      </top>
      <bottom style="thin">
        <color theme="0"/>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double">
        <color theme="5" tint="-0.499984740745262"/>
      </left>
      <right style="double">
        <color theme="5" tint="-0.499984740745262"/>
      </right>
      <top style="double">
        <color theme="5" tint="-0.499984740745262"/>
      </top>
      <bottom/>
      <diagonal/>
    </border>
    <border>
      <left style="double">
        <color theme="5" tint="-0.499984740745262"/>
      </left>
      <right style="double">
        <color theme="5" tint="-0.499984740745262"/>
      </right>
      <top/>
      <bottom style="double">
        <color theme="5" tint="-0.499984740745262"/>
      </bottom>
      <diagonal/>
    </border>
    <border>
      <left/>
      <right/>
      <top/>
      <bottom style="thin">
        <color theme="3" tint="0.39994506668294322"/>
      </bottom>
      <diagonal/>
    </border>
    <border>
      <left/>
      <right style="thin">
        <color theme="3" tint="0.39994506668294322"/>
      </right>
      <top/>
      <bottom/>
      <diagonal/>
    </border>
    <border>
      <left/>
      <right style="thin">
        <color theme="3" tint="0.39994506668294322"/>
      </right>
      <top/>
      <bottom style="thin">
        <color theme="3" tint="0.39994506668294322"/>
      </bottom>
      <diagonal/>
    </border>
    <border>
      <left style="thin">
        <color theme="3" tint="0.39994506668294322"/>
      </left>
      <right/>
      <top/>
      <bottom style="thin">
        <color theme="3" tint="0.39994506668294322"/>
      </bottom>
      <diagonal/>
    </border>
    <border>
      <left/>
      <right/>
      <top/>
      <bottom style="thin">
        <color indexed="64"/>
      </bottom>
      <diagonal/>
    </border>
    <border>
      <left style="thin">
        <color theme="0"/>
      </left>
      <right/>
      <top style="thin">
        <color indexed="64"/>
      </top>
      <bottom style="thin">
        <color indexed="64"/>
      </bottom>
      <diagonal/>
    </border>
    <border>
      <left/>
      <right/>
      <top style="thin">
        <color indexed="64"/>
      </top>
      <bottom style="thin">
        <color indexed="64"/>
      </bottom>
      <diagonal/>
    </border>
    <border>
      <left/>
      <right/>
      <top style="thin">
        <color indexed="64"/>
      </top>
      <bottom style="double">
        <color indexed="64"/>
      </bottom>
      <diagonal/>
    </border>
    <border>
      <left/>
      <right/>
      <top style="thin">
        <color indexed="64"/>
      </top>
      <bottom/>
      <diagonal/>
    </border>
    <border>
      <left/>
      <right/>
      <top/>
      <bottom style="thin">
        <color theme="4" tint="0.39997558519241921"/>
      </bottom>
      <diagonal/>
    </border>
    <border>
      <left style="dotted">
        <color auto="1"/>
      </left>
      <right/>
      <top style="dotted">
        <color auto="1"/>
      </top>
      <bottom style="dotted">
        <color auto="1"/>
      </bottom>
      <diagonal/>
    </border>
    <border>
      <left/>
      <right/>
      <top style="dotted">
        <color auto="1"/>
      </top>
      <bottom style="dotted">
        <color auto="1"/>
      </bottom>
      <diagonal/>
    </border>
    <border>
      <left/>
      <right style="dotted">
        <color auto="1"/>
      </right>
      <top style="dotted">
        <color auto="1"/>
      </top>
      <bottom style="dotted">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hair">
        <color auto="1"/>
      </left>
      <right/>
      <top style="hair">
        <color auto="1"/>
      </top>
      <bottom style="hair">
        <color auto="1"/>
      </bottom>
      <diagonal/>
    </border>
  </borders>
  <cellStyleXfs count="2">
    <xf numFmtId="0" fontId="0" fillId="0" borderId="0"/>
    <xf numFmtId="0" fontId="9" fillId="0" borderId="0"/>
  </cellStyleXfs>
  <cellXfs count="163">
    <xf numFmtId="0" fontId="0" fillId="0" borderId="0" xfId="0"/>
    <xf numFmtId="0" fontId="1" fillId="0" borderId="0" xfId="0" applyFont="1" applyAlignment="1">
      <alignment horizontal="center" vertical="center"/>
    </xf>
    <xf numFmtId="166" fontId="6" fillId="2" borderId="0" xfId="0" applyNumberFormat="1" applyFont="1" applyFill="1" applyAlignment="1">
      <alignment horizontal="center"/>
    </xf>
    <xf numFmtId="49" fontId="6" fillId="2" borderId="0" xfId="0" applyNumberFormat="1" applyFont="1" applyFill="1" applyAlignment="1">
      <alignment horizontal="center"/>
    </xf>
    <xf numFmtId="164" fontId="7" fillId="5" borderId="0" xfId="0" applyNumberFormat="1" applyFont="1" applyFill="1" applyAlignment="1">
      <alignment horizontal="center"/>
    </xf>
    <xf numFmtId="164" fontId="7" fillId="5" borderId="0" xfId="0" applyNumberFormat="1" applyFont="1" applyFill="1" applyAlignment="1">
      <alignment horizontal="left"/>
    </xf>
    <xf numFmtId="164" fontId="7" fillId="0" borderId="0" xfId="0" applyNumberFormat="1" applyFont="1" applyAlignment="1">
      <alignment horizontal="center"/>
    </xf>
    <xf numFmtId="0" fontId="6" fillId="6" borderId="0" xfId="0" applyFont="1" applyFill="1" applyAlignment="1">
      <alignment horizontal="center"/>
    </xf>
    <xf numFmtId="164" fontId="6" fillId="6" borderId="0" xfId="0" applyNumberFormat="1" applyFont="1" applyFill="1" applyAlignment="1">
      <alignment horizontal="center"/>
    </xf>
    <xf numFmtId="0" fontId="7" fillId="0" borderId="0" xfId="0" applyFont="1" applyAlignment="1">
      <alignment horizontal="center"/>
    </xf>
    <xf numFmtId="164" fontId="7" fillId="6" borderId="0" xfId="0" applyNumberFormat="1" applyFont="1" applyFill="1" applyAlignment="1">
      <alignment horizontal="center"/>
    </xf>
    <xf numFmtId="164" fontId="6" fillId="2" borderId="2" xfId="0" applyNumberFormat="1" applyFont="1" applyFill="1" applyBorder="1" applyAlignment="1">
      <alignment horizontal="center"/>
    </xf>
    <xf numFmtId="164" fontId="6" fillId="6" borderId="0" xfId="0" applyNumberFormat="1" applyFont="1" applyFill="1" applyAlignment="1">
      <alignment horizontal="right"/>
    </xf>
    <xf numFmtId="0" fontId="7" fillId="7" borderId="0" xfId="0" applyFont="1" applyFill="1" applyAlignment="1">
      <alignment horizontal="center"/>
    </xf>
    <xf numFmtId="164" fontId="7" fillId="7" borderId="0" xfId="0" applyNumberFormat="1" applyFont="1" applyFill="1" applyAlignment="1">
      <alignment horizontal="center"/>
    </xf>
    <xf numFmtId="0" fontId="1" fillId="0" borderId="0" xfId="0" applyFont="1" applyAlignment="1">
      <alignment horizontal="center" vertical="center" wrapText="1"/>
    </xf>
    <xf numFmtId="164" fontId="1" fillId="0" borderId="0" xfId="0" applyNumberFormat="1" applyFont="1" applyAlignment="1">
      <alignment horizontal="center" vertical="center"/>
    </xf>
    <xf numFmtId="2" fontId="1" fillId="0" borderId="4" xfId="0" applyNumberFormat="1" applyFont="1" applyBorder="1" applyAlignment="1">
      <alignment horizontal="center" vertical="center"/>
    </xf>
    <xf numFmtId="164" fontId="1" fillId="0" borderId="5" xfId="0" applyNumberFormat="1" applyFont="1" applyBorder="1" applyAlignment="1">
      <alignment horizontal="center" vertical="center"/>
    </xf>
    <xf numFmtId="167" fontId="1" fillId="0" borderId="0" xfId="0" applyNumberFormat="1" applyFont="1" applyAlignment="1">
      <alignment horizontal="center" vertical="center"/>
    </xf>
    <xf numFmtId="0" fontId="1" fillId="0" borderId="7" xfId="0" applyFont="1" applyBorder="1" applyAlignment="1">
      <alignment horizontal="center" vertical="center"/>
    </xf>
    <xf numFmtId="168" fontId="1" fillId="0" borderId="0" xfId="0" applyNumberFormat="1" applyFont="1" applyAlignment="1">
      <alignment horizontal="center" vertical="center"/>
    </xf>
    <xf numFmtId="0" fontId="8" fillId="0" borderId="0" xfId="0" applyNumberFormat="1" applyFont="1" applyAlignment="1">
      <alignment horizontal="center" vertical="center"/>
    </xf>
    <xf numFmtId="0" fontId="4" fillId="2" borderId="0" xfId="0" applyFont="1" applyFill="1" applyAlignment="1">
      <alignment horizontal="center" vertical="center"/>
    </xf>
    <xf numFmtId="2" fontId="4" fillId="2" borderId="0" xfId="0" applyNumberFormat="1" applyFont="1" applyFill="1" applyAlignment="1">
      <alignment horizontal="left" vertical="center"/>
    </xf>
    <xf numFmtId="0" fontId="4" fillId="2" borderId="0" xfId="0" applyNumberFormat="1" applyFont="1" applyFill="1" applyAlignment="1">
      <alignment horizontal="left" vertical="center"/>
    </xf>
    <xf numFmtId="0" fontId="3" fillId="4" borderId="0" xfId="0" applyFont="1" applyFill="1" applyBorder="1" applyAlignment="1">
      <alignment vertical="center"/>
    </xf>
    <xf numFmtId="167" fontId="5" fillId="3" borderId="6" xfId="0" applyNumberFormat="1" applyFont="1" applyFill="1" applyBorder="1" applyAlignment="1">
      <alignment horizontal="center" vertical="center" wrapText="1"/>
    </xf>
    <xf numFmtId="0" fontId="5" fillId="3" borderId="6" xfId="0" applyNumberFormat="1" applyFont="1" applyFill="1" applyBorder="1" applyAlignment="1">
      <alignment horizontal="center" vertical="center" wrapText="1"/>
    </xf>
    <xf numFmtId="0" fontId="1" fillId="2" borderId="0" xfId="0" applyNumberFormat="1" applyFont="1" applyFill="1" applyBorder="1" applyAlignment="1">
      <alignment horizontal="center" vertical="center" wrapText="1"/>
    </xf>
    <xf numFmtId="0" fontId="4" fillId="2" borderId="0" xfId="0" applyNumberFormat="1" applyFont="1" applyFill="1" applyBorder="1" applyAlignment="1">
      <alignment horizontal="center" vertical="center" wrapText="1"/>
    </xf>
    <xf numFmtId="0" fontId="4" fillId="2" borderId="7" xfId="0" applyNumberFormat="1" applyFont="1" applyFill="1" applyBorder="1" applyAlignment="1">
      <alignment horizontal="center" vertical="center" wrapText="1"/>
    </xf>
    <xf numFmtId="0" fontId="2" fillId="3" borderId="6" xfId="0" applyFont="1" applyFill="1" applyBorder="1" applyAlignment="1">
      <alignment horizontal="center" vertical="center" wrapText="1"/>
    </xf>
    <xf numFmtId="0" fontId="2" fillId="3" borderId="6" xfId="0" applyNumberFormat="1" applyFont="1" applyFill="1" applyBorder="1" applyAlignment="1">
      <alignment horizontal="center" vertical="center" wrapText="1"/>
    </xf>
    <xf numFmtId="165" fontId="5" fillId="3" borderId="6" xfId="0" applyNumberFormat="1" applyFont="1" applyFill="1" applyBorder="1" applyAlignment="1">
      <alignment horizontal="center" vertical="center" wrapText="1"/>
    </xf>
    <xf numFmtId="0" fontId="1" fillId="2" borderId="0" xfId="0" applyFont="1" applyFill="1" applyAlignment="1">
      <alignment horizontal="left" vertical="center"/>
    </xf>
    <xf numFmtId="0" fontId="1" fillId="2" borderId="0" xfId="0" applyNumberFormat="1" applyFont="1" applyFill="1" applyAlignment="1">
      <alignment horizontal="left" vertical="center"/>
    </xf>
    <xf numFmtId="0" fontId="9" fillId="9" borderId="0" xfId="1" applyFill="1"/>
    <xf numFmtId="0" fontId="11" fillId="8" borderId="14" xfId="1" applyNumberFormat="1" applyFont="1" applyFill="1" applyBorder="1" applyAlignment="1">
      <alignment horizontal="center" wrapText="1"/>
    </xf>
    <xf numFmtId="0" fontId="12" fillId="8" borderId="15" xfId="1" applyNumberFormat="1" applyFont="1" applyFill="1" applyBorder="1" applyAlignment="1">
      <alignment horizontal="center" vertical="top" wrapText="1"/>
    </xf>
    <xf numFmtId="0" fontId="14" fillId="9" borderId="0" xfId="1" applyFont="1" applyFill="1"/>
    <xf numFmtId="0" fontId="14" fillId="0" borderId="0" xfId="0" pivotButton="1" applyFont="1" applyAlignment="1">
      <alignment horizontal="center" vertical="center"/>
    </xf>
    <xf numFmtId="0" fontId="14" fillId="0" borderId="0" xfId="0" applyFont="1"/>
    <xf numFmtId="0" fontId="15" fillId="9" borderId="0" xfId="1" applyFont="1" applyFill="1" applyAlignment="1">
      <alignment vertical="center"/>
    </xf>
    <xf numFmtId="0" fontId="14" fillId="0" borderId="0" xfId="0" applyFont="1" applyAlignment="1">
      <alignment horizontal="center" vertical="center" wrapText="1"/>
    </xf>
    <xf numFmtId="0" fontId="14" fillId="0" borderId="0" xfId="0" applyFont="1" applyAlignment="1">
      <alignment horizontal="center" vertical="center"/>
    </xf>
    <xf numFmtId="0" fontId="13" fillId="10" borderId="12" xfId="0" applyFont="1" applyFill="1" applyBorder="1" applyAlignment="1">
      <alignment horizontal="center" vertical="center"/>
    </xf>
    <xf numFmtId="0" fontId="13" fillId="10" borderId="13" xfId="0" applyFont="1" applyFill="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1" xfId="0" applyFont="1" applyBorder="1" applyAlignment="1">
      <alignment horizontal="center" vertical="center"/>
    </xf>
    <xf numFmtId="0" fontId="14" fillId="0" borderId="7" xfId="0" applyFont="1" applyBorder="1" applyAlignment="1">
      <alignment horizontal="center" vertical="center"/>
    </xf>
    <xf numFmtId="0" fontId="14" fillId="9" borderId="1" xfId="1" applyFont="1" applyFill="1" applyBorder="1" applyAlignment="1">
      <alignment horizontal="center" vertical="center"/>
    </xf>
    <xf numFmtId="0" fontId="14" fillId="9" borderId="7" xfId="1" applyFont="1" applyFill="1" applyBorder="1" applyAlignment="1">
      <alignment horizontal="center" vertical="center"/>
    </xf>
    <xf numFmtId="0" fontId="14" fillId="9" borderId="10" xfId="1" applyFont="1" applyFill="1" applyBorder="1" applyAlignment="1">
      <alignment horizontal="center" vertical="center"/>
    </xf>
    <xf numFmtId="0" fontId="14" fillId="9" borderId="11" xfId="1" applyFont="1" applyFill="1" applyBorder="1" applyAlignment="1">
      <alignment horizontal="center" vertical="center"/>
    </xf>
    <xf numFmtId="0" fontId="14" fillId="9" borderId="0" xfId="1" applyFont="1" applyFill="1" applyAlignment="1">
      <alignment horizontal="center" vertical="center"/>
    </xf>
    <xf numFmtId="0" fontId="16" fillId="7" borderId="0" xfId="1" applyFont="1" applyFill="1" applyBorder="1" applyAlignment="1">
      <alignment horizontal="right" vertical="center"/>
    </xf>
    <xf numFmtId="0" fontId="16" fillId="7" borderId="0" xfId="1" applyFont="1" applyFill="1" applyBorder="1" applyAlignment="1">
      <alignment horizontal="right"/>
    </xf>
    <xf numFmtId="0" fontId="8" fillId="11" borderId="21" xfId="0" applyFont="1" applyFill="1" applyBorder="1" applyAlignment="1">
      <alignment horizontal="center" vertical="center" wrapText="1"/>
    </xf>
    <xf numFmtId="0" fontId="8" fillId="11" borderId="22" xfId="0" applyFont="1" applyFill="1" applyBorder="1" applyAlignment="1">
      <alignment horizontal="center" vertical="center" wrapText="1"/>
    </xf>
    <xf numFmtId="0" fontId="8" fillId="11" borderId="0" xfId="0" applyFont="1" applyFill="1" applyAlignment="1">
      <alignment horizontal="center" vertical="center"/>
    </xf>
    <xf numFmtId="0" fontId="13" fillId="10" borderId="23" xfId="0" applyFont="1" applyFill="1" applyBorder="1" applyAlignment="1">
      <alignment horizontal="center" vertical="center"/>
    </xf>
    <xf numFmtId="0" fontId="14" fillId="0" borderId="24" xfId="0" applyFont="1" applyBorder="1" applyAlignment="1">
      <alignment horizontal="center" vertical="center"/>
    </xf>
    <xf numFmtId="0" fontId="14" fillId="0" borderId="0" xfId="0" applyFont="1" applyBorder="1" applyAlignment="1">
      <alignment horizontal="center" vertical="center"/>
    </xf>
    <xf numFmtId="0" fontId="14" fillId="9" borderId="0" xfId="1" applyFont="1" applyFill="1" applyBorder="1" applyAlignment="1">
      <alignment horizontal="center" vertical="center"/>
    </xf>
    <xf numFmtId="0" fontId="14" fillId="9" borderId="20" xfId="1" applyFont="1" applyFill="1" applyBorder="1" applyAlignment="1">
      <alignment horizontal="center" vertical="center"/>
    </xf>
    <xf numFmtId="0" fontId="17" fillId="11" borderId="0" xfId="0" applyFont="1" applyFill="1" applyBorder="1" applyAlignment="1">
      <alignment horizontal="center" vertical="center"/>
    </xf>
    <xf numFmtId="0" fontId="18" fillId="12" borderId="25" xfId="0" applyFont="1" applyFill="1" applyBorder="1" applyAlignment="1">
      <alignment horizontal="center" vertical="center" wrapText="1"/>
    </xf>
    <xf numFmtId="0" fontId="17" fillId="11" borderId="0" xfId="0" applyFont="1" applyFill="1" applyBorder="1" applyAlignment="1">
      <alignment horizontal="center" vertical="center"/>
    </xf>
    <xf numFmtId="0" fontId="8" fillId="11" borderId="22" xfId="0" applyFont="1" applyFill="1" applyBorder="1" applyAlignment="1">
      <alignment horizontal="center" vertical="center"/>
    </xf>
    <xf numFmtId="0" fontId="5" fillId="3" borderId="6" xfId="0" applyNumberFormat="1" applyFont="1" applyFill="1" applyBorder="1" applyAlignment="1">
      <alignment horizontal="center" vertical="center" wrapText="1"/>
    </xf>
    <xf numFmtId="0" fontId="1" fillId="2" borderId="0" xfId="0" applyNumberFormat="1" applyFont="1" applyFill="1" applyAlignment="1">
      <alignment horizontal="center" vertical="center" wrapText="1"/>
    </xf>
    <xf numFmtId="0" fontId="1" fillId="9" borderId="0" xfId="0" applyFont="1" applyFill="1" applyBorder="1" applyAlignment="1">
      <alignment horizontal="center" vertical="center"/>
    </xf>
    <xf numFmtId="0" fontId="1" fillId="9" borderId="0" xfId="0" applyFont="1" applyFill="1" applyBorder="1" applyAlignment="1">
      <alignment horizontal="center" vertical="center" wrapText="1"/>
    </xf>
    <xf numFmtId="0" fontId="7" fillId="9" borderId="0" xfId="1" applyFont="1" applyFill="1"/>
    <xf numFmtId="0" fontId="23" fillId="9" borderId="0" xfId="1" applyFont="1" applyFill="1"/>
    <xf numFmtId="0" fontId="24" fillId="9" borderId="0" xfId="1" applyFont="1" applyFill="1"/>
    <xf numFmtId="49" fontId="25" fillId="9" borderId="32" xfId="1" applyNumberFormat="1" applyFont="1" applyFill="1" applyBorder="1" applyAlignment="1">
      <alignment horizontal="justify" vertical="center"/>
    </xf>
    <xf numFmtId="49" fontId="25" fillId="9" borderId="0" xfId="1" applyNumberFormat="1" applyFont="1" applyFill="1" applyBorder="1" applyAlignment="1">
      <alignment horizontal="justify" vertical="center"/>
    </xf>
    <xf numFmtId="49" fontId="25" fillId="9" borderId="33" xfId="1" applyNumberFormat="1" applyFont="1" applyFill="1" applyBorder="1" applyAlignment="1">
      <alignment horizontal="justify" vertical="center"/>
    </xf>
    <xf numFmtId="49" fontId="25" fillId="9" borderId="32" xfId="1" applyNumberFormat="1" applyFont="1" applyFill="1" applyBorder="1"/>
    <xf numFmtId="0" fontId="22" fillId="9" borderId="32" xfId="1" applyFont="1" applyFill="1" applyBorder="1"/>
    <xf numFmtId="0" fontId="22" fillId="9" borderId="34" xfId="1" applyFont="1" applyFill="1" applyBorder="1"/>
    <xf numFmtId="49" fontId="31" fillId="7" borderId="0" xfId="1" applyNumberFormat="1" applyFont="1" applyFill="1" applyBorder="1" applyAlignment="1">
      <alignment horizontal="left" vertical="center"/>
    </xf>
    <xf numFmtId="1" fontId="14" fillId="13" borderId="0" xfId="0" applyNumberFormat="1" applyFont="1" applyFill="1" applyAlignment="1">
      <alignment horizontal="center" vertical="center"/>
    </xf>
    <xf numFmtId="1" fontId="14" fillId="13" borderId="0" xfId="0" applyNumberFormat="1" applyFont="1" applyFill="1" applyBorder="1" applyAlignment="1">
      <alignment horizontal="center" vertical="center"/>
    </xf>
    <xf numFmtId="164" fontId="14" fillId="13" borderId="0" xfId="0" applyNumberFormat="1" applyFont="1" applyFill="1" applyBorder="1" applyAlignment="1">
      <alignment horizontal="center" vertical="center"/>
    </xf>
    <xf numFmtId="2" fontId="14" fillId="13" borderId="0" xfId="0" applyNumberFormat="1" applyFont="1" applyFill="1" applyBorder="1" applyAlignment="1">
      <alignment horizontal="center" vertical="center"/>
    </xf>
    <xf numFmtId="2" fontId="9" fillId="13" borderId="0" xfId="0" applyNumberFormat="1" applyFont="1" applyFill="1" applyAlignment="1">
      <alignment horizontal="center"/>
    </xf>
    <xf numFmtId="0" fontId="13" fillId="13" borderId="0" xfId="0" applyNumberFormat="1" applyFont="1" applyFill="1" applyAlignment="1">
      <alignment horizontal="right" vertical="center"/>
    </xf>
    <xf numFmtId="0" fontId="14" fillId="13" borderId="0" xfId="0" applyNumberFormat="1" applyFont="1" applyFill="1" applyAlignment="1">
      <alignment horizontal="left" vertical="center"/>
    </xf>
    <xf numFmtId="0" fontId="5" fillId="3" borderId="6" xfId="0" applyNumberFormat="1" applyFont="1" applyFill="1" applyBorder="1" applyAlignment="1">
      <alignment horizontal="center" vertical="center" wrapText="1"/>
    </xf>
    <xf numFmtId="0" fontId="8" fillId="11" borderId="0" xfId="0" applyFont="1" applyFill="1" applyAlignment="1">
      <alignment horizontal="left" vertical="center"/>
    </xf>
    <xf numFmtId="49" fontId="6" fillId="5" borderId="0" xfId="0" applyNumberFormat="1" applyFont="1" applyFill="1" applyBorder="1" applyAlignment="1">
      <alignment horizontal="center"/>
    </xf>
    <xf numFmtId="49" fontId="6" fillId="6" borderId="0" xfId="0" applyNumberFormat="1" applyFont="1" applyFill="1" applyBorder="1" applyAlignment="1">
      <alignment horizontal="center"/>
    </xf>
    <xf numFmtId="49" fontId="7" fillId="7" borderId="0" xfId="0" applyNumberFormat="1" applyFont="1" applyFill="1" applyBorder="1" applyAlignment="1">
      <alignment horizontal="center"/>
    </xf>
    <xf numFmtId="49" fontId="6" fillId="6" borderId="0" xfId="0" applyNumberFormat="1" applyFont="1" applyFill="1" applyBorder="1" applyAlignment="1">
      <alignment horizontal="right"/>
    </xf>
    <xf numFmtId="49" fontId="7" fillId="0" borderId="0" xfId="0" applyNumberFormat="1" applyFont="1" applyBorder="1" applyAlignment="1">
      <alignment horizontal="center"/>
    </xf>
    <xf numFmtId="0" fontId="0" fillId="0" borderId="2" xfId="0" applyBorder="1"/>
    <xf numFmtId="164" fontId="6" fillId="2" borderId="7" xfId="0" applyNumberFormat="1" applyFont="1" applyFill="1" applyBorder="1" applyAlignment="1">
      <alignment horizontal="center"/>
    </xf>
    <xf numFmtId="0" fontId="0" fillId="0" borderId="7" xfId="0" applyBorder="1"/>
    <xf numFmtId="49" fontId="36" fillId="9" borderId="0" xfId="1" applyNumberFormat="1" applyFont="1" applyFill="1" applyAlignment="1">
      <alignment horizontal="center" vertical="center"/>
    </xf>
    <xf numFmtId="0" fontId="37" fillId="9" borderId="0" xfId="1" applyFont="1" applyFill="1" applyAlignment="1">
      <alignment horizontal="center" vertical="center"/>
    </xf>
    <xf numFmtId="49" fontId="1" fillId="0" borderId="0" xfId="0" applyNumberFormat="1" applyFont="1" applyFill="1" applyAlignment="1">
      <alignment horizontal="left" vertical="center"/>
    </xf>
    <xf numFmtId="49" fontId="1" fillId="0" borderId="4" xfId="0" applyNumberFormat="1" applyFont="1" applyFill="1" applyBorder="1" applyAlignment="1">
      <alignment horizontal="left" vertical="center"/>
    </xf>
    <xf numFmtId="49" fontId="1" fillId="0" borderId="0" xfId="0" applyNumberFormat="1" applyFont="1" applyFill="1" applyBorder="1" applyAlignment="1">
      <alignment horizontal="left" vertical="center"/>
    </xf>
    <xf numFmtId="49" fontId="1" fillId="0" borderId="5" xfId="0" applyNumberFormat="1" applyFont="1" applyFill="1" applyBorder="1" applyAlignment="1">
      <alignment horizontal="left" vertical="center"/>
    </xf>
    <xf numFmtId="0" fontId="39" fillId="0" borderId="0" xfId="0" applyFont="1" applyAlignment="1">
      <alignment horizontal="center" vertical="center"/>
    </xf>
    <xf numFmtId="0" fontId="39" fillId="9" borderId="0" xfId="0" applyFont="1" applyFill="1" applyBorder="1" applyAlignment="1">
      <alignment horizontal="center" vertical="center"/>
    </xf>
    <xf numFmtId="169" fontId="1" fillId="0" borderId="3" xfId="0" applyNumberFormat="1" applyFont="1" applyBorder="1" applyAlignment="1">
      <alignment horizontal="center" vertical="center"/>
    </xf>
    <xf numFmtId="0" fontId="14" fillId="9" borderId="0" xfId="1" applyFont="1" applyFill="1" applyAlignment="1">
      <alignment horizontal="left" vertical="center" wrapText="1"/>
    </xf>
    <xf numFmtId="0" fontId="41" fillId="9" borderId="26" xfId="1" applyFont="1" applyFill="1" applyBorder="1" applyAlignment="1">
      <alignment horizontal="center" vertical="center"/>
    </xf>
    <xf numFmtId="0" fontId="40" fillId="9" borderId="26" xfId="1" applyFont="1" applyFill="1" applyBorder="1" applyAlignment="1">
      <alignment horizontal="center" vertical="center"/>
    </xf>
    <xf numFmtId="0" fontId="43" fillId="9" borderId="26" xfId="1" applyFont="1" applyFill="1" applyBorder="1" applyAlignment="1">
      <alignment horizontal="center" vertical="center"/>
    </xf>
    <xf numFmtId="0" fontId="14" fillId="14" borderId="26" xfId="1" applyFont="1" applyFill="1" applyBorder="1" applyAlignment="1">
      <alignment horizontal="center" vertical="center"/>
    </xf>
    <xf numFmtId="0" fontId="1" fillId="15" borderId="0" xfId="0" applyFont="1" applyFill="1" applyAlignment="1">
      <alignment horizontal="center" vertical="center"/>
    </xf>
    <xf numFmtId="0" fontId="1" fillId="15" borderId="0" xfId="0" applyFont="1" applyFill="1" applyBorder="1" applyAlignment="1">
      <alignment horizontal="center" vertical="center"/>
    </xf>
    <xf numFmtId="0" fontId="44" fillId="9" borderId="26" xfId="1" applyFont="1" applyFill="1" applyBorder="1" applyAlignment="1">
      <alignment horizontal="center" vertical="center"/>
    </xf>
    <xf numFmtId="0" fontId="45" fillId="9" borderId="37" xfId="1" applyFont="1" applyFill="1" applyBorder="1" applyAlignment="1">
      <alignment horizontal="center" vertical="center" wrapText="1"/>
    </xf>
    <xf numFmtId="0" fontId="44" fillId="9" borderId="37" xfId="1" applyFont="1" applyFill="1" applyBorder="1" applyAlignment="1">
      <alignment horizontal="center" vertical="center" wrapText="1"/>
    </xf>
    <xf numFmtId="0" fontId="46" fillId="9" borderId="37" xfId="1" applyFont="1" applyFill="1" applyBorder="1" applyAlignment="1">
      <alignment horizontal="center" vertical="center" wrapText="1"/>
    </xf>
    <xf numFmtId="20" fontId="14" fillId="9" borderId="0" xfId="1" applyNumberFormat="1" applyFont="1" applyFill="1"/>
    <xf numFmtId="49" fontId="28" fillId="9" borderId="29" xfId="1" applyNumberFormat="1" applyFont="1" applyFill="1" applyBorder="1" applyAlignment="1">
      <alignment horizontal="center" vertical="top"/>
    </xf>
    <xf numFmtId="49" fontId="28" fillId="9" borderId="30" xfId="1" applyNumberFormat="1" applyFont="1" applyFill="1" applyBorder="1" applyAlignment="1">
      <alignment horizontal="center" vertical="top"/>
    </xf>
    <xf numFmtId="49" fontId="28" fillId="9" borderId="31" xfId="1" applyNumberFormat="1" applyFont="1" applyFill="1" applyBorder="1" applyAlignment="1">
      <alignment horizontal="center" vertical="top"/>
    </xf>
    <xf numFmtId="49" fontId="28" fillId="9" borderId="32" xfId="1" applyNumberFormat="1" applyFont="1" applyFill="1" applyBorder="1" applyAlignment="1">
      <alignment horizontal="center" vertical="top"/>
    </xf>
    <xf numFmtId="49" fontId="28" fillId="9" borderId="0" xfId="1" applyNumberFormat="1" applyFont="1" applyFill="1" applyBorder="1" applyAlignment="1">
      <alignment horizontal="center" vertical="top"/>
    </xf>
    <xf numFmtId="49" fontId="28" fillId="9" borderId="33" xfId="1" applyNumberFormat="1" applyFont="1" applyFill="1" applyBorder="1" applyAlignment="1">
      <alignment horizontal="center" vertical="top"/>
    </xf>
    <xf numFmtId="49" fontId="25" fillId="9" borderId="32" xfId="1" applyNumberFormat="1" applyFont="1" applyFill="1" applyBorder="1" applyAlignment="1">
      <alignment horizontal="justify" vertical="center"/>
    </xf>
    <xf numFmtId="49" fontId="25" fillId="9" borderId="0" xfId="1" applyNumberFormat="1" applyFont="1" applyFill="1" applyBorder="1" applyAlignment="1">
      <alignment horizontal="justify" vertical="center"/>
    </xf>
    <xf numFmtId="49" fontId="25" fillId="9" borderId="33" xfId="1" applyNumberFormat="1" applyFont="1" applyFill="1" applyBorder="1" applyAlignment="1">
      <alignment horizontal="justify" vertical="center"/>
    </xf>
    <xf numFmtId="49" fontId="25" fillId="9" borderId="0" xfId="1" applyNumberFormat="1" applyFont="1" applyFill="1" applyBorder="1" applyAlignment="1">
      <alignment horizontal="justify" vertical="top" wrapText="1"/>
    </xf>
    <xf numFmtId="49" fontId="25" fillId="9" borderId="33" xfId="1" applyNumberFormat="1" applyFont="1" applyFill="1" applyBorder="1" applyAlignment="1">
      <alignment horizontal="justify" vertical="top" wrapText="1"/>
    </xf>
    <xf numFmtId="49" fontId="25" fillId="9" borderId="35" xfId="1" applyNumberFormat="1" applyFont="1" applyFill="1" applyBorder="1" applyAlignment="1">
      <alignment horizontal="justify" vertical="top" wrapText="1"/>
    </xf>
    <xf numFmtId="49" fontId="25" fillId="9" borderId="36" xfId="1" applyNumberFormat="1" applyFont="1" applyFill="1" applyBorder="1" applyAlignment="1">
      <alignment horizontal="justify" vertical="top" wrapText="1"/>
    </xf>
    <xf numFmtId="49" fontId="25" fillId="9" borderId="0" xfId="1" applyNumberFormat="1" applyFont="1" applyFill="1" applyBorder="1" applyAlignment="1">
      <alignment horizontal="justify" vertical="center" wrapText="1"/>
    </xf>
    <xf numFmtId="49" fontId="25" fillId="9" borderId="33" xfId="1" applyNumberFormat="1" applyFont="1" applyFill="1" applyBorder="1" applyAlignment="1">
      <alignment horizontal="justify" vertical="center" wrapText="1"/>
    </xf>
    <xf numFmtId="49" fontId="25" fillId="9" borderId="32" xfId="1" applyNumberFormat="1" applyFont="1" applyFill="1" applyBorder="1" applyAlignment="1">
      <alignment horizontal="justify" vertical="center" wrapText="1"/>
    </xf>
    <xf numFmtId="49" fontId="26" fillId="9" borderId="0" xfId="1" applyNumberFormat="1" applyFont="1" applyFill="1" applyBorder="1" applyAlignment="1">
      <alignment horizontal="justify" vertical="center" wrapText="1"/>
    </xf>
    <xf numFmtId="49" fontId="26" fillId="9" borderId="33" xfId="1" applyNumberFormat="1" applyFont="1" applyFill="1" applyBorder="1" applyAlignment="1">
      <alignment horizontal="justify" vertical="center" wrapText="1"/>
    </xf>
    <xf numFmtId="49" fontId="29" fillId="9" borderId="26" xfId="1" applyNumberFormat="1" applyFont="1" applyFill="1" applyBorder="1" applyAlignment="1">
      <alignment horizontal="center" vertical="center"/>
    </xf>
    <xf numFmtId="49" fontId="29" fillId="9" borderId="27" xfId="1" applyNumberFormat="1" applyFont="1" applyFill="1" applyBorder="1" applyAlignment="1">
      <alignment horizontal="center" vertical="center"/>
    </xf>
    <xf numFmtId="49" fontId="29" fillId="9" borderId="28" xfId="1" applyNumberFormat="1" applyFont="1" applyFill="1" applyBorder="1" applyAlignment="1">
      <alignment horizontal="center" vertical="center"/>
    </xf>
    <xf numFmtId="0" fontId="15" fillId="9" borderId="0" xfId="1" applyFont="1" applyFill="1" applyAlignment="1">
      <alignment horizontal="center" vertical="center" wrapText="1"/>
    </xf>
    <xf numFmtId="0" fontId="15" fillId="9" borderId="20" xfId="1" applyFont="1" applyFill="1" applyBorder="1" applyAlignment="1">
      <alignment horizontal="center" vertical="center" wrapText="1"/>
    </xf>
    <xf numFmtId="0" fontId="14" fillId="9" borderId="27" xfId="1" applyFont="1" applyFill="1" applyBorder="1" applyAlignment="1">
      <alignment horizontal="left" vertical="center"/>
    </xf>
    <xf numFmtId="0" fontId="14" fillId="9" borderId="28" xfId="1" applyFont="1" applyFill="1" applyBorder="1" applyAlignment="1">
      <alignment horizontal="left" vertical="center"/>
    </xf>
    <xf numFmtId="0" fontId="14" fillId="9" borderId="27" xfId="1" applyFont="1" applyFill="1" applyBorder="1" applyAlignment="1">
      <alignment horizontal="left" vertical="center" wrapText="1"/>
    </xf>
    <xf numFmtId="0" fontId="14" fillId="9" borderId="28" xfId="1" applyFont="1" applyFill="1" applyBorder="1" applyAlignment="1">
      <alignment horizontal="left" vertical="center" wrapText="1"/>
    </xf>
    <xf numFmtId="0" fontId="13" fillId="9" borderId="37" xfId="1" applyFont="1" applyFill="1" applyBorder="1" applyAlignment="1">
      <alignment horizontal="center" vertical="center" wrapText="1"/>
    </xf>
    <xf numFmtId="0" fontId="14" fillId="9" borderId="37" xfId="1" applyFont="1" applyFill="1" applyBorder="1" applyAlignment="1">
      <alignment horizontal="center" vertical="center" wrapText="1"/>
    </xf>
    <xf numFmtId="0" fontId="42" fillId="9" borderId="0" xfId="1" applyFont="1" applyFill="1" applyAlignment="1">
      <alignment horizontal="left" vertical="center"/>
    </xf>
    <xf numFmtId="0" fontId="13" fillId="6" borderId="19" xfId="1" applyFont="1" applyFill="1" applyBorder="1" applyAlignment="1">
      <alignment horizontal="center" vertical="center"/>
    </xf>
    <xf numFmtId="0" fontId="13" fillId="6" borderId="16" xfId="1" applyFont="1" applyFill="1" applyBorder="1" applyAlignment="1">
      <alignment horizontal="center" vertical="center"/>
    </xf>
    <xf numFmtId="49" fontId="7" fillId="7" borderId="0" xfId="0" applyNumberFormat="1" applyFont="1" applyFill="1" applyBorder="1" applyAlignment="1">
      <alignment horizontal="center" vertical="center" wrapText="1"/>
    </xf>
    <xf numFmtId="49" fontId="7" fillId="7" borderId="17" xfId="0" applyNumberFormat="1" applyFont="1" applyFill="1" applyBorder="1" applyAlignment="1">
      <alignment horizontal="center" vertical="center" wrapText="1"/>
    </xf>
    <xf numFmtId="0" fontId="13" fillId="6" borderId="16" xfId="0" applyFont="1" applyFill="1" applyBorder="1" applyAlignment="1">
      <alignment horizontal="center" vertical="center"/>
    </xf>
    <xf numFmtId="0" fontId="13" fillId="6" borderId="18" xfId="0" applyFont="1" applyFill="1" applyBorder="1" applyAlignment="1">
      <alignment horizontal="center" vertical="center"/>
    </xf>
    <xf numFmtId="0" fontId="17" fillId="11" borderId="10" xfId="0" applyFont="1" applyFill="1" applyBorder="1" applyAlignment="1">
      <alignment horizontal="center" vertical="center"/>
    </xf>
    <xf numFmtId="0" fontId="17" fillId="11" borderId="20" xfId="0" applyFont="1" applyFill="1" applyBorder="1" applyAlignment="1">
      <alignment horizontal="center" vertical="center"/>
    </xf>
    <xf numFmtId="0" fontId="17" fillId="11" borderId="20" xfId="0" applyFont="1" applyFill="1" applyBorder="1" applyAlignment="1">
      <alignment horizontal="left" vertical="center"/>
    </xf>
    <xf numFmtId="0" fontId="17" fillId="11" borderId="0" xfId="0" applyFont="1" applyFill="1" applyBorder="1" applyAlignment="1">
      <alignment horizontal="center" vertical="center"/>
    </xf>
  </cellXfs>
  <cellStyles count="2">
    <cellStyle name="Normal" xfId="0" builtinId="0"/>
    <cellStyle name="Normal 2" xfId="1" xr:uid="{00000000-0005-0000-0000-000001000000}"/>
  </cellStyles>
  <dxfs count="21">
    <dxf>
      <fill>
        <patternFill patternType="solid">
          <bgColor theme="6" tint="0.79998168889431442"/>
        </patternFill>
      </fill>
    </dxf>
    <dxf>
      <font>
        <b val="0"/>
      </font>
    </dxf>
    <dxf>
      <font>
        <sz val="11"/>
      </font>
    </dxf>
    <dxf>
      <font>
        <sz val="11"/>
      </font>
    </dxf>
    <dxf>
      <font>
        <sz val="11"/>
      </font>
    </dxf>
    <dxf>
      <font>
        <name val="Calibri"/>
        <scheme val="minor"/>
      </font>
    </dxf>
    <dxf>
      <font>
        <name val="Calibri"/>
        <scheme val="minor"/>
      </font>
    </dxf>
    <dxf>
      <font>
        <name val="Calibri"/>
        <scheme val="minor"/>
      </font>
    </dxf>
    <dxf>
      <alignment horizontal="center"/>
    </dxf>
    <dxf>
      <alignment vertical="center"/>
    </dxf>
    <dxf>
      <numFmt numFmtId="1" formatCode="0"/>
    </dxf>
    <dxf>
      <numFmt numFmtId="164" formatCode="0.0"/>
    </dxf>
    <dxf>
      <numFmt numFmtId="2" formatCode="0.00"/>
    </dxf>
    <dxf>
      <numFmt numFmtId="1" formatCode="0"/>
    </dxf>
    <dxf>
      <alignment horizontal="center"/>
    </dxf>
    <dxf>
      <alignment vertical="center"/>
    </dxf>
    <dxf>
      <alignment wrapText="1" readingOrder="0"/>
    </dxf>
    <dxf>
      <alignment horizontal="center" vertical="center" readingOrder="0"/>
    </dxf>
    <dxf>
      <alignment horizontal="center" readingOrder="0"/>
    </dxf>
    <dxf>
      <alignment wrapText="1" readingOrder="0"/>
    </dxf>
    <dxf>
      <border>
        <right/>
      </border>
    </dxf>
  </dxfs>
  <tableStyles count="0" defaultTableStyle="TableStyleMedium2" defaultPivotStyle="PivotStyleLight16"/>
  <colors>
    <mruColors>
      <color rgb="FFC0008E"/>
      <color rgb="FF4100C2"/>
      <color rgb="FF00B050"/>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85725</xdr:rowOff>
        </xdr:from>
        <xdr:to>
          <xdr:col>1</xdr:col>
          <xdr:colOff>466725</xdr:colOff>
          <xdr:row>3</xdr:row>
          <xdr:rowOff>104775</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000-00000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80"/>
                  </a:solidFill>
                  <a:latin typeface="Calibri"/>
                  <a:cs typeface="Calibri"/>
                </a:rPr>
                <a:t>🏚 Retour à l'Accueil</a:t>
              </a:r>
            </a:p>
          </xdr:txBody>
        </xdr:sp>
        <xdr:clientData fPrintsWithSheet="0"/>
      </xdr:twoCellAnchor>
    </mc:Choice>
    <mc:Fallback/>
  </mc:AlternateContent>
  <xdr:twoCellAnchor editAs="oneCell">
    <xdr:from>
      <xdr:col>1</xdr:col>
      <xdr:colOff>666750</xdr:colOff>
      <xdr:row>1</xdr:row>
      <xdr:rowOff>21043</xdr:rowOff>
    </xdr:from>
    <xdr:to>
      <xdr:col>17</xdr:col>
      <xdr:colOff>200206</xdr:colOff>
      <xdr:row>29</xdr:row>
      <xdr:rowOff>104775</xdr:rowOff>
    </xdr:to>
    <xdr:pic>
      <xdr:nvPicPr>
        <xdr:cNvPr id="3" name="Imag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1428750" y="182968"/>
          <a:ext cx="11725456" cy="4636682"/>
        </a:xfrm>
        <a:prstGeom prst="rect">
          <a:avLst/>
        </a:prstGeom>
        <a:ln>
          <a:solidFill>
            <a:sysClr val="windowText" lastClr="000000"/>
          </a:solidFill>
        </a:ln>
        <a:effectLst>
          <a:glow rad="101600">
            <a:schemeClr val="accent2">
              <a:satMod val="175000"/>
              <a:alpha val="40000"/>
            </a:schemeClr>
          </a:glow>
          <a:outerShdw blurRad="50800" dist="38100" dir="2700000" algn="tl" rotWithShape="0">
            <a:prstClr val="black">
              <a:alpha val="40000"/>
            </a:prstClr>
          </a:outerShdw>
        </a:effectLst>
      </xdr:spPr>
    </xdr:pic>
    <xdr:clientData/>
  </xdr:twoCellAnchor>
  <xdr:twoCellAnchor editAs="oneCell">
    <xdr:from>
      <xdr:col>0</xdr:col>
      <xdr:colOff>264488</xdr:colOff>
      <xdr:row>24</xdr:row>
      <xdr:rowOff>133350</xdr:rowOff>
    </xdr:from>
    <xdr:to>
      <xdr:col>3</xdr:col>
      <xdr:colOff>378361</xdr:colOff>
      <xdr:row>41</xdr:row>
      <xdr:rowOff>156597</xdr:rowOff>
    </xdr:to>
    <xdr:pic>
      <xdr:nvPicPr>
        <xdr:cNvPr id="4" name="Imag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264488" y="4019550"/>
          <a:ext cx="2399873" cy="2775972"/>
        </a:xfrm>
        <a:prstGeom prst="rect">
          <a:avLst/>
        </a:prstGeom>
        <a:ln>
          <a:solidFill>
            <a:sysClr val="windowText" lastClr="000000"/>
          </a:solidFill>
        </a:ln>
        <a:effectLst>
          <a:glow rad="101600">
            <a:schemeClr val="accent2">
              <a:satMod val="175000"/>
              <a:alpha val="40000"/>
            </a:schemeClr>
          </a:glow>
          <a:outerShdw blurRad="50800" dist="38100" dir="2700000" algn="tl" rotWithShape="0">
            <a:prstClr val="black">
              <a:alpha val="40000"/>
            </a:prstClr>
          </a:outerShdw>
        </a:effectLst>
      </xdr:spPr>
    </xdr:pic>
    <xdr:clientData/>
  </xdr:twoCellAnchor>
  <xdr:twoCellAnchor editAs="oneCell">
    <xdr:from>
      <xdr:col>2</xdr:col>
      <xdr:colOff>76201</xdr:colOff>
      <xdr:row>47</xdr:row>
      <xdr:rowOff>0</xdr:rowOff>
    </xdr:from>
    <xdr:to>
      <xdr:col>16</xdr:col>
      <xdr:colOff>503136</xdr:colOff>
      <xdr:row>81</xdr:row>
      <xdr:rowOff>64404</xdr:rowOff>
    </xdr:to>
    <xdr:pic>
      <xdr:nvPicPr>
        <xdr:cNvPr id="5" name="Imag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a:stretch>
          <a:fillRect/>
        </a:stretch>
      </xdr:blipFill>
      <xdr:spPr>
        <a:xfrm>
          <a:off x="1600201" y="7610475"/>
          <a:ext cx="11094935" cy="5569854"/>
        </a:xfrm>
        <a:prstGeom prst="rect">
          <a:avLst/>
        </a:prstGeom>
        <a:ln>
          <a:solidFill>
            <a:sysClr val="windowText" lastClr="000000"/>
          </a:solidFill>
        </a:ln>
        <a:effectLst>
          <a:glow rad="101600">
            <a:schemeClr val="accent4">
              <a:satMod val="175000"/>
              <a:alpha val="40000"/>
            </a:schemeClr>
          </a:glow>
          <a:outerShdw blurRad="50800" dist="38100" dir="2700000" algn="tl" rotWithShape="0">
            <a:prstClr val="black">
              <a:alpha val="40000"/>
            </a:prstClr>
          </a:outerShdw>
        </a:effectLst>
      </xdr:spPr>
    </xdr:pic>
    <xdr:clientData/>
  </xdr:twoCellAnchor>
  <xdr:twoCellAnchor editAs="oneCell">
    <xdr:from>
      <xdr:col>3</xdr:col>
      <xdr:colOff>0</xdr:colOff>
      <xdr:row>64</xdr:row>
      <xdr:rowOff>133348</xdr:rowOff>
    </xdr:from>
    <xdr:to>
      <xdr:col>6</xdr:col>
      <xdr:colOff>633248</xdr:colOff>
      <xdr:row>90</xdr:row>
      <xdr:rowOff>158895</xdr:rowOff>
    </xdr:to>
    <xdr:pic>
      <xdr:nvPicPr>
        <xdr:cNvPr id="6" name="Imag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4"/>
        <a:stretch>
          <a:fillRect/>
        </a:stretch>
      </xdr:blipFill>
      <xdr:spPr>
        <a:xfrm>
          <a:off x="2286000" y="10496548"/>
          <a:ext cx="2919248" cy="4235597"/>
        </a:xfrm>
        <a:prstGeom prst="rect">
          <a:avLst/>
        </a:prstGeom>
        <a:ln>
          <a:solidFill>
            <a:sysClr val="windowText" lastClr="000000"/>
          </a:solidFill>
        </a:ln>
        <a:effectLst>
          <a:glow rad="101600">
            <a:schemeClr val="accent4">
              <a:satMod val="175000"/>
              <a:alpha val="40000"/>
            </a:schemeClr>
          </a:glow>
          <a:outerShdw blurRad="50800" dist="38100" dir="2700000" algn="tl" rotWithShape="0">
            <a:prstClr val="black">
              <a:alpha val="40000"/>
            </a:prstClr>
          </a:outerShdw>
        </a:effectLst>
      </xdr:spPr>
    </xdr:pic>
    <xdr:clientData/>
  </xdr:twoCellAnchor>
  <xdr:twoCellAnchor editAs="oneCell">
    <xdr:from>
      <xdr:col>4</xdr:col>
      <xdr:colOff>133350</xdr:colOff>
      <xdr:row>29</xdr:row>
      <xdr:rowOff>28575</xdr:rowOff>
    </xdr:from>
    <xdr:to>
      <xdr:col>11</xdr:col>
      <xdr:colOff>663758</xdr:colOff>
      <xdr:row>37</xdr:row>
      <xdr:rowOff>113540</xdr:rowOff>
    </xdr:to>
    <xdr:pic>
      <xdr:nvPicPr>
        <xdr:cNvPr id="7" name="Imag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5"/>
        <a:stretch>
          <a:fillRect/>
        </a:stretch>
      </xdr:blipFill>
      <xdr:spPr>
        <a:xfrm>
          <a:off x="3181350" y="4724400"/>
          <a:ext cx="5864408" cy="1380365"/>
        </a:xfrm>
        <a:prstGeom prst="rect">
          <a:avLst/>
        </a:prstGeom>
        <a:ln>
          <a:solidFill>
            <a:sysClr val="windowText" lastClr="000000"/>
          </a:solidFill>
        </a:ln>
        <a:effectLst>
          <a:glow rad="101600">
            <a:schemeClr val="accent1">
              <a:satMod val="175000"/>
              <a:alpha val="40000"/>
            </a:schemeClr>
          </a:glow>
          <a:outerShdw blurRad="50800" dist="38100" dir="2700000" algn="tl" rotWithShape="0">
            <a:prstClr val="black">
              <a:alpha val="40000"/>
            </a:prstClr>
          </a:outerShdw>
        </a:effectLst>
      </xdr:spPr>
    </xdr:pic>
    <xdr:clientData/>
  </xdr:twoCellAnchor>
  <xdr:twoCellAnchor editAs="oneCell">
    <xdr:from>
      <xdr:col>12</xdr:col>
      <xdr:colOff>66675</xdr:colOff>
      <xdr:row>29</xdr:row>
      <xdr:rowOff>19050</xdr:rowOff>
    </xdr:from>
    <xdr:to>
      <xdr:col>17</xdr:col>
      <xdr:colOff>183428</xdr:colOff>
      <xdr:row>45</xdr:row>
      <xdr:rowOff>60375</xdr:rowOff>
    </xdr:to>
    <xdr:pic>
      <xdr:nvPicPr>
        <xdr:cNvPr id="8" name="Imag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6"/>
        <a:stretch>
          <a:fillRect/>
        </a:stretch>
      </xdr:blipFill>
      <xdr:spPr>
        <a:xfrm>
          <a:off x="9210675" y="4714875"/>
          <a:ext cx="3926753" cy="2632125"/>
        </a:xfrm>
        <a:prstGeom prst="rect">
          <a:avLst/>
        </a:prstGeom>
        <a:ln>
          <a:solidFill>
            <a:sysClr val="windowText" lastClr="000000"/>
          </a:solidFill>
        </a:ln>
        <a:effectLst>
          <a:glow rad="101600">
            <a:schemeClr val="accent1">
              <a:satMod val="175000"/>
              <a:alpha val="40000"/>
            </a:schemeClr>
          </a:glow>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xdr:from>
          <xdr:col>0</xdr:col>
          <xdr:colOff>66675</xdr:colOff>
          <xdr:row>4</xdr:row>
          <xdr:rowOff>38100</xdr:rowOff>
        </xdr:from>
        <xdr:to>
          <xdr:col>1</xdr:col>
          <xdr:colOff>466725</xdr:colOff>
          <xdr:row>7</xdr:row>
          <xdr:rowOff>142875</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0000-000002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8000"/>
                  </a:solidFill>
                  <a:latin typeface="Calibri"/>
                  <a:cs typeface="Calibri"/>
                </a:rPr>
                <a:t>🚘 Aller au détail des trajets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104775</xdr:colOff>
          <xdr:row>0</xdr:row>
          <xdr:rowOff>76200</xdr:rowOff>
        </xdr:from>
        <xdr:to>
          <xdr:col>1</xdr:col>
          <xdr:colOff>485775</xdr:colOff>
          <xdr:row>2</xdr:row>
          <xdr:rowOff>142875</xdr:rowOff>
        </xdr:to>
        <xdr:sp macro="" textlink="">
          <xdr:nvSpPr>
            <xdr:cNvPr id="35843" name="Button 3" hidden="1">
              <a:extLst>
                <a:ext uri="{63B3BB69-23CF-44E3-9099-C40C66FF867C}">
                  <a14:compatExt spid="_x0000_s35843"/>
                </a:ext>
                <a:ext uri="{FF2B5EF4-FFF2-40B4-BE49-F238E27FC236}">
                  <a16:creationId xmlns:a16="http://schemas.microsoft.com/office/drawing/2014/main" id="{00000000-0008-0000-0100-000003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80"/>
                  </a:solidFill>
                  <a:latin typeface="Calibri"/>
                  <a:cs typeface="Calibri"/>
                </a:rPr>
                <a:t>🏚 Retour à l'Accueil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2</xdr:row>
          <xdr:rowOff>219075</xdr:rowOff>
        </xdr:from>
        <xdr:to>
          <xdr:col>1</xdr:col>
          <xdr:colOff>485775</xdr:colOff>
          <xdr:row>5</xdr:row>
          <xdr:rowOff>38100</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0100-000004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8000"/>
                  </a:solidFill>
                  <a:latin typeface="Calibri"/>
                  <a:cs typeface="Calibri"/>
                </a:rPr>
                <a:t>🚘 Aller au détail des trajets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0</xdr:col>
      <xdr:colOff>38100</xdr:colOff>
      <xdr:row>3</xdr:row>
      <xdr:rowOff>95250</xdr:rowOff>
    </xdr:from>
    <xdr:to>
      <xdr:col>2</xdr:col>
      <xdr:colOff>123825</xdr:colOff>
      <xdr:row>22</xdr:row>
      <xdr:rowOff>123825</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38100" y="857250"/>
          <a:ext cx="1781175" cy="3457575"/>
        </a:xfrm>
        <a:prstGeom prst="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fr-FR" sz="1100"/>
        </a:p>
      </xdr:txBody>
    </xdr:sp>
    <xdr:clientData/>
  </xdr:twoCellAnchor>
  <mc:AlternateContent xmlns:mc="http://schemas.openxmlformats.org/markup-compatibility/2006">
    <mc:Choice xmlns:a14="http://schemas.microsoft.com/office/drawing/2010/main" Requires="a14">
      <xdr:twoCellAnchor editAs="absolute">
        <xdr:from>
          <xdr:col>0</xdr:col>
          <xdr:colOff>114300</xdr:colOff>
          <xdr:row>3</xdr:row>
          <xdr:rowOff>171450</xdr:rowOff>
        </xdr:from>
        <xdr:to>
          <xdr:col>2</xdr:col>
          <xdr:colOff>38100</xdr:colOff>
          <xdr:row>8</xdr:row>
          <xdr:rowOff>47625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2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993300"/>
                  </a:solidFill>
                  <a:latin typeface="Calibri"/>
                  <a:cs typeface="Calibri"/>
                </a:rPr>
                <a:t>📥Ouvrir un fichier trajets (*.myp, *.myc, *.myd)</a:t>
              </a:r>
            </a:p>
          </xdr:txBody>
        </xdr:sp>
        <xdr:clientData fPrintsWithSheet="0"/>
      </xdr:twoCellAnchor>
    </mc:Choice>
    <mc:Fallback/>
  </mc:AlternateContent>
  <xdr:twoCellAnchor editAs="absolute">
    <xdr:from>
      <xdr:col>4</xdr:col>
      <xdr:colOff>0</xdr:colOff>
      <xdr:row>11</xdr:row>
      <xdr:rowOff>57150</xdr:rowOff>
    </xdr:from>
    <xdr:to>
      <xdr:col>5</xdr:col>
      <xdr:colOff>523875</xdr:colOff>
      <xdr:row>18</xdr:row>
      <xdr:rowOff>200025</xdr:rowOff>
    </xdr:to>
    <xdr:sp macro="" textlink="">
      <xdr:nvSpPr>
        <xdr:cNvPr id="9" name="Rectangle 8">
          <a:extLst>
            <a:ext uri="{FF2B5EF4-FFF2-40B4-BE49-F238E27FC236}">
              <a16:creationId xmlns:a16="http://schemas.microsoft.com/office/drawing/2014/main" id="{00000000-0008-0000-0200-000009000000}"/>
            </a:ext>
          </a:extLst>
        </xdr:cNvPr>
        <xdr:cNvSpPr/>
      </xdr:nvSpPr>
      <xdr:spPr>
        <a:xfrm>
          <a:off x="2152650" y="2381250"/>
          <a:ext cx="1752600" cy="1495425"/>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fr-FR" sz="1100"/>
        </a:p>
      </xdr:txBody>
    </xdr:sp>
    <xdr:clientData/>
  </xdr:twoCellAnchor>
  <mc:AlternateContent xmlns:mc="http://schemas.openxmlformats.org/markup-compatibility/2006">
    <mc:Choice xmlns:a14="http://schemas.microsoft.com/office/drawing/2010/main" Requires="a14">
      <xdr:twoCellAnchor editAs="absolute">
        <xdr:from>
          <xdr:col>0</xdr:col>
          <xdr:colOff>114300</xdr:colOff>
          <xdr:row>8</xdr:row>
          <xdr:rowOff>123825</xdr:rowOff>
        </xdr:from>
        <xdr:to>
          <xdr:col>2</xdr:col>
          <xdr:colOff>38100</xdr:colOff>
          <xdr:row>11</xdr:row>
          <xdr:rowOff>161925</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2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333333"/>
                  </a:solidFill>
                  <a:latin typeface="Calibri"/>
                  <a:cs typeface="Calibri"/>
                </a:rPr>
                <a:t>🗑 Effacer les données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114300</xdr:colOff>
          <xdr:row>12</xdr:row>
          <xdr:rowOff>47625</xdr:rowOff>
        </xdr:from>
        <xdr:to>
          <xdr:col>2</xdr:col>
          <xdr:colOff>38100</xdr:colOff>
          <xdr:row>15</xdr:row>
          <xdr:rowOff>57150</xdr:rowOff>
        </xdr:to>
        <xdr:sp macro="" textlink="">
          <xdr:nvSpPr>
            <xdr:cNvPr id="22531" name="Button 3" hidden="1">
              <a:extLst>
                <a:ext uri="{63B3BB69-23CF-44E3-9099-C40C66FF867C}">
                  <a14:compatExt spid="_x0000_s22531"/>
                </a:ext>
                <a:ext uri="{FF2B5EF4-FFF2-40B4-BE49-F238E27FC236}">
                  <a16:creationId xmlns:a16="http://schemas.microsoft.com/office/drawing/2014/main" id="{00000000-0008-0000-0200-000003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8000"/>
                  </a:solidFill>
                  <a:latin typeface="Calibri"/>
                  <a:cs typeface="Calibri"/>
                </a:rPr>
                <a:t>🚘 Aller au détail des trajets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76200</xdr:colOff>
          <xdr:row>11</xdr:row>
          <xdr:rowOff>152400</xdr:rowOff>
        </xdr:from>
        <xdr:to>
          <xdr:col>5</xdr:col>
          <xdr:colOff>457200</xdr:colOff>
          <xdr:row>14</xdr:row>
          <xdr:rowOff>180975</xdr:rowOff>
        </xdr:to>
        <xdr:sp macro="" textlink="">
          <xdr:nvSpPr>
            <xdr:cNvPr id="22532" name="Button 4" descr="Aller au Tutoriel d'Importation" hidden="1">
              <a:extLst>
                <a:ext uri="{63B3BB69-23CF-44E3-9099-C40C66FF867C}">
                  <a14:compatExt spid="_x0000_s22532"/>
                </a:ext>
                <a:ext uri="{FF2B5EF4-FFF2-40B4-BE49-F238E27FC236}">
                  <a16:creationId xmlns:a16="http://schemas.microsoft.com/office/drawing/2014/main" id="{00000000-0008-0000-0200-000004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FF"/>
                  </a:solidFill>
                  <a:latin typeface="Calibri"/>
                  <a:cs typeface="Calibri"/>
                </a:rPr>
                <a:t>Tutoriel</a:t>
              </a:r>
            </a:p>
            <a:p>
              <a:pPr algn="ctr" rtl="0">
                <a:defRPr sz="1000"/>
              </a:pPr>
              <a:r>
                <a:rPr lang="fr-FR" sz="1200" b="0" i="0" u="none" strike="noStrike" baseline="0">
                  <a:solidFill>
                    <a:srgbClr val="0000FF"/>
                  </a:solidFill>
                  <a:latin typeface="Calibri"/>
                  <a:cs typeface="Calibri"/>
                </a:rPr>
                <a:t>d'Importation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114300</xdr:colOff>
          <xdr:row>15</xdr:row>
          <xdr:rowOff>104775</xdr:rowOff>
        </xdr:from>
        <xdr:to>
          <xdr:col>2</xdr:col>
          <xdr:colOff>38100</xdr:colOff>
          <xdr:row>18</xdr:row>
          <xdr:rowOff>180975</xdr:rowOff>
        </xdr:to>
        <xdr:sp macro="" textlink="">
          <xdr:nvSpPr>
            <xdr:cNvPr id="22533" name="Button 5" hidden="1">
              <a:extLst>
                <a:ext uri="{63B3BB69-23CF-44E3-9099-C40C66FF867C}">
                  <a14:compatExt spid="_x0000_s22533"/>
                </a:ext>
                <a:ext uri="{FF2B5EF4-FFF2-40B4-BE49-F238E27FC236}">
                  <a16:creationId xmlns:a16="http://schemas.microsoft.com/office/drawing/2014/main" id="{00000000-0008-0000-0200-000005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FF0000"/>
                  </a:solidFill>
                  <a:latin typeface="Calibri"/>
                  <a:cs typeface="Calibri"/>
                </a:rPr>
                <a:t>📤 Exporter les trajets vers (*.myp, *.myc, *.myd)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76200</xdr:colOff>
          <xdr:row>15</xdr:row>
          <xdr:rowOff>38100</xdr:rowOff>
        </xdr:from>
        <xdr:to>
          <xdr:col>5</xdr:col>
          <xdr:colOff>457200</xdr:colOff>
          <xdr:row>18</xdr:row>
          <xdr:rowOff>114300</xdr:rowOff>
        </xdr:to>
        <xdr:sp macro="" textlink="">
          <xdr:nvSpPr>
            <xdr:cNvPr id="22534" name="Button 6" descr="Aller au Tutoriel d'Importation" hidden="1">
              <a:extLst>
                <a:ext uri="{63B3BB69-23CF-44E3-9099-C40C66FF867C}">
                  <a14:compatExt spid="_x0000_s22534"/>
                </a:ext>
                <a:ext uri="{FF2B5EF4-FFF2-40B4-BE49-F238E27FC236}">
                  <a16:creationId xmlns:a16="http://schemas.microsoft.com/office/drawing/2014/main" id="{00000000-0008-0000-0200-000006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FF"/>
                  </a:solidFill>
                  <a:latin typeface="Calibri"/>
                  <a:cs typeface="Calibri"/>
                </a:rPr>
                <a:t>Tutoriel</a:t>
              </a:r>
            </a:p>
            <a:p>
              <a:pPr algn="ctr" rtl="0">
                <a:defRPr sz="1000"/>
              </a:pPr>
              <a:r>
                <a:rPr lang="fr-FR" sz="1200" b="0" i="0" u="none" strike="noStrike" baseline="0">
                  <a:solidFill>
                    <a:srgbClr val="0000FF"/>
                  </a:solidFill>
                  <a:latin typeface="Calibri"/>
                  <a:cs typeface="Calibri"/>
                </a:rPr>
                <a:t>d'Exportation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114300</xdr:colOff>
          <xdr:row>19</xdr:row>
          <xdr:rowOff>19050</xdr:rowOff>
        </xdr:from>
        <xdr:to>
          <xdr:col>2</xdr:col>
          <xdr:colOff>38100</xdr:colOff>
          <xdr:row>22</xdr:row>
          <xdr:rowOff>76200</xdr:rowOff>
        </xdr:to>
        <xdr:sp macro="" textlink="">
          <xdr:nvSpPr>
            <xdr:cNvPr id="22536" name="Button 8" hidden="1">
              <a:extLst>
                <a:ext uri="{63B3BB69-23CF-44E3-9099-C40C66FF867C}">
                  <a14:compatExt spid="_x0000_s22536"/>
                </a:ext>
                <a:ext uri="{FF2B5EF4-FFF2-40B4-BE49-F238E27FC236}">
                  <a16:creationId xmlns:a16="http://schemas.microsoft.com/office/drawing/2014/main" id="{00000000-0008-0000-0200-000008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FF0000"/>
                  </a:solidFill>
                  <a:latin typeface="Calibri"/>
                  <a:cs typeface="Calibri"/>
                </a:rPr>
                <a:t>📤 </a:t>
              </a:r>
              <a:r>
                <a:rPr lang="fr-FR" sz="1100" b="0" i="0" u="none" strike="noStrike" baseline="0">
                  <a:solidFill>
                    <a:srgbClr val="FF9900"/>
                  </a:solidFill>
                  <a:latin typeface="Calibri"/>
                  <a:cs typeface="Calibri"/>
                </a:rPr>
                <a:t>Reconstituer les adresses manquantes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38100</xdr:rowOff>
        </xdr:from>
        <xdr:to>
          <xdr:col>1</xdr:col>
          <xdr:colOff>190500</xdr:colOff>
          <xdr:row>0</xdr:row>
          <xdr:rowOff>390525</xdr:rowOff>
        </xdr:to>
        <xdr:sp macro="" textlink="">
          <xdr:nvSpPr>
            <xdr:cNvPr id="11275" name="Button 11" hidden="1">
              <a:extLst>
                <a:ext uri="{63B3BB69-23CF-44E3-9099-C40C66FF867C}">
                  <a14:compatExt spid="_x0000_s11275"/>
                </a:ext>
                <a:ext uri="{FF2B5EF4-FFF2-40B4-BE49-F238E27FC236}">
                  <a16:creationId xmlns:a16="http://schemas.microsoft.com/office/drawing/2014/main" id="{00000000-0008-0000-0300-00000B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80"/>
                  </a:solidFill>
                  <a:latin typeface="Calibri"/>
                  <a:cs typeface="Calibri"/>
                </a:rPr>
                <a:t>🏚 Retour à l'Accueil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676275</xdr:colOff>
          <xdr:row>0</xdr:row>
          <xdr:rowOff>28575</xdr:rowOff>
        </xdr:from>
        <xdr:to>
          <xdr:col>16</xdr:col>
          <xdr:colOff>876300</xdr:colOff>
          <xdr:row>0</xdr:row>
          <xdr:rowOff>381000</xdr:rowOff>
        </xdr:to>
        <xdr:sp macro="" textlink="">
          <xdr:nvSpPr>
            <xdr:cNvPr id="11276" name="Button 12" hidden="1">
              <a:extLst>
                <a:ext uri="{63B3BB69-23CF-44E3-9099-C40C66FF867C}">
                  <a14:compatExt spid="_x0000_s11276"/>
                </a:ext>
                <a:ext uri="{FF2B5EF4-FFF2-40B4-BE49-F238E27FC236}">
                  <a16:creationId xmlns:a16="http://schemas.microsoft.com/office/drawing/2014/main" id="{00000000-0008-0000-0300-00000C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1" i="0" u="none" strike="noStrike" baseline="0">
                  <a:solidFill>
                    <a:srgbClr val="000080"/>
                  </a:solidFill>
                  <a:latin typeface="Calibri"/>
                  <a:cs typeface="Calibri"/>
                </a:rPr>
                <a:t>Retour à l'Accueil</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rrick -" refreshedDate="44127.593016550927" missingItemsLimit="0" createdVersion="6" refreshedVersion="6" minRefreshableVersion="3" recordCount="254" xr:uid="{00000000-000A-0000-FFFF-FFFF24000000}">
  <cacheSource type="worksheet">
    <worksheetSource ref="A2:Q1048576" sheet="Trajets"/>
  </cacheSource>
  <cacheFields count="17">
    <cacheField name="VIN(s)" numFmtId="0">
      <sharedItems containsNonDate="0" containsString="0" containsBlank="1" count="1">
        <m/>
      </sharedItems>
    </cacheField>
    <cacheField name="Trip id#" numFmtId="0">
      <sharedItems containsNonDate="0" containsString="0" containsBlank="1"/>
    </cacheField>
    <cacheField name="Début" numFmtId="167">
      <sharedItems containsNonDate="0" containsString="0" containsBlank="1"/>
    </cacheField>
    <cacheField name="Fin" numFmtId="167">
      <sharedItems containsNonDate="0" containsString="0" containsBlank="1"/>
    </cacheField>
    <cacheField name="Durée (h:min)" numFmtId="169">
      <sharedItems containsNonDate="0" containsString="0" containsBlank="1"/>
    </cacheField>
    <cacheField name="Distance trajet" numFmtId="164">
      <sharedItems containsNonDate="0" containsString="0" containsBlank="1"/>
    </cacheField>
    <cacheField name="Distance totale" numFmtId="164">
      <sharedItems containsNonDate="0" containsString="0" containsBlank="1"/>
    </cacheField>
    <cacheField name="Conso L/trajet" numFmtId="2">
      <sharedItems containsNonDate="0" containsString="0" containsBlank="1"/>
    </cacheField>
    <cacheField name="Conso L/100 km" numFmtId="164">
      <sharedItems containsNonDate="0" containsString="0" containsBlank="1"/>
    </cacheField>
    <cacheField name="Latitude Départ" numFmtId="49">
      <sharedItems containsNonDate="0" containsString="0" containsBlank="1"/>
    </cacheField>
    <cacheField name="Longitude Départ" numFmtId="49">
      <sharedItems containsNonDate="0" containsString="0" containsBlank="1"/>
    </cacheField>
    <cacheField name="Adresse de Départ" numFmtId="49">
      <sharedItems containsNonDate="0" containsString="0" containsBlank="1"/>
    </cacheField>
    <cacheField name="Latitude Arrivée" numFmtId="49">
      <sharedItems containsNonDate="0" containsString="0" containsBlank="1"/>
    </cacheField>
    <cacheField name="Longitude Arrivée" numFmtId="49">
      <sharedItems containsNonDate="0" containsString="0" containsBlank="1"/>
    </cacheField>
    <cacheField name="Adresse d'arrivée_x000d_" numFmtId="49">
      <sharedItems containsNonDate="0" containsString="0" containsBlank="1"/>
    </cacheField>
    <cacheField name="Niveau de carburant (%)" numFmtId="168">
      <sharedItems containsNonDate="0" containsString="0" containsBlank="1"/>
    </cacheField>
    <cacheField name="Autonomie restante (k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4">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TCD_VIN" cacheId="6" applyNumberFormats="0" applyBorderFormats="0" applyFontFormats="0" applyPatternFormats="0" applyAlignmentFormats="0" applyWidthHeightFormats="1" dataCaption="Valeurs" updatedVersion="6" minRefreshableVersion="3" itemPrintTitles="1" createdVersion="6" indent="0" outline="1" outlineData="1" multipleFieldFilters="0">
  <location ref="E3:H4" firstHeaderRow="0" firstDataRow="1" firstDataCol="0" rowPageCount="1" colPageCount="1"/>
  <pivotFields count="17">
    <pivotField axis="axisPage" multipleItemSelectionAllowed="1" showAll="0">
      <items count="2">
        <item x="0"/>
        <item t="default"/>
      </items>
    </pivotField>
    <pivotField dataField="1" showAll="0"/>
    <pivotField showAll="0"/>
    <pivotField showAll="0"/>
    <pivotField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s>
  <rowItems count="1">
    <i/>
  </rowItems>
  <colFields count="1">
    <field x="-2"/>
  </colFields>
  <colItems count="4">
    <i>
      <x/>
    </i>
    <i i="1">
      <x v="1"/>
    </i>
    <i i="2">
      <x v="2"/>
    </i>
    <i i="3">
      <x v="3"/>
    </i>
  </colItems>
  <pageFields count="1">
    <pageField fld="0" hier="-1"/>
  </pageFields>
  <dataFields count="4">
    <dataField name="Kilométrage actuel de la voiture" fld="6" subtotal="max" baseField="0" baseItem="1" numFmtId="1"/>
    <dataField name="Nombre de trajets" fld="1" subtotal="count" baseField="0" baseItem="424914072" numFmtId="1"/>
    <dataField name="Kilométrage total" fld="5" baseField="0" baseItem="1" numFmtId="164"/>
    <dataField name="Conso Totale (L)" fld="7" baseField="0" baseItem="1" numFmtId="2"/>
  </dataFields>
  <formats count="21">
    <format dxfId="20">
      <pivotArea outline="0" collapsedLevelsAreSubtotals="1" fieldPosition="0">
        <references count="1">
          <reference field="4294967294" count="3" selected="0">
            <x v="1"/>
            <x v="2"/>
            <x v="3"/>
          </reference>
        </references>
      </pivotArea>
    </format>
    <format dxfId="19">
      <pivotArea dataOnly="0" labelOnly="1" outline="0" fieldPosition="0">
        <references count="1">
          <reference field="4294967294" count="1">
            <x v="0"/>
          </reference>
        </references>
      </pivotArea>
    </format>
    <format dxfId="18">
      <pivotArea dataOnly="0" labelOnly="1" outline="0" fieldPosition="0">
        <references count="1">
          <reference field="4294967294" count="1">
            <x v="0"/>
          </reference>
        </references>
      </pivotArea>
    </format>
    <format dxfId="17">
      <pivotArea dataOnly="0" labelOnly="1" outline="0" fieldPosition="0">
        <references count="1">
          <reference field="4294967294" count="4">
            <x v="0"/>
            <x v="1"/>
            <x v="2"/>
            <x v="3"/>
          </reference>
        </references>
      </pivotArea>
    </format>
    <format dxfId="16">
      <pivotArea dataOnly="0" labelOnly="1" outline="0" fieldPosition="0">
        <references count="1">
          <reference field="4294967294" count="1">
            <x v="1"/>
          </reference>
        </references>
      </pivotArea>
    </format>
    <format dxfId="15">
      <pivotArea outline="0" collapsedLevelsAreSubtotals="1" fieldPosition="0"/>
    </format>
    <format dxfId="14">
      <pivotArea outline="0" collapsedLevelsAreSubtotals="1" fieldPosition="0"/>
    </format>
    <format dxfId="13">
      <pivotArea outline="0" collapsedLevelsAreSubtotals="1" fieldPosition="0">
        <references count="1">
          <reference field="4294967294" count="1" selected="0">
            <x v="1"/>
          </reference>
        </references>
      </pivotArea>
    </format>
    <format dxfId="12">
      <pivotArea outline="0" collapsedLevelsAreSubtotals="1" fieldPosition="0">
        <references count="1">
          <reference field="4294967294" count="3" selected="0">
            <x v="0"/>
            <x v="2"/>
            <x v="3"/>
          </reference>
        </references>
      </pivotArea>
    </format>
    <format dxfId="11">
      <pivotArea outline="0" collapsedLevelsAreSubtotals="1" fieldPosition="0">
        <references count="1">
          <reference field="4294967294" count="1" selected="0">
            <x v="2"/>
          </reference>
        </references>
      </pivotArea>
    </format>
    <format dxfId="10">
      <pivotArea outline="0" collapsedLevelsAreSubtotals="1" fieldPosition="0">
        <references count="1">
          <reference field="4294967294" count="1" selected="0">
            <x v="0"/>
          </reference>
        </references>
      </pivotArea>
    </format>
    <format dxfId="9">
      <pivotArea field="0" type="button" dataOnly="0" labelOnly="1" outline="0" axis="axisPage" fieldPosition="0"/>
    </format>
    <format dxfId="8">
      <pivotArea field="0" type="button" dataOnly="0" labelOnly="1" outline="0" axis="axisPage" fieldPosition="0"/>
    </format>
    <format dxfId="7">
      <pivotArea type="all" dataOnly="0" outline="0" fieldPosition="0"/>
    </format>
    <format dxfId="6">
      <pivotArea outline="0" collapsedLevelsAreSubtotals="1" fieldPosition="0"/>
    </format>
    <format dxfId="5">
      <pivotArea dataOnly="0" labelOnly="1" outline="0" fieldPosition="0">
        <references count="1">
          <reference field="4294967294" count="4">
            <x v="0"/>
            <x v="1"/>
            <x v="2"/>
            <x v="3"/>
          </reference>
        </references>
      </pivotArea>
    </format>
    <format dxfId="4">
      <pivotArea type="all" dataOnly="0" outline="0" fieldPosition="0"/>
    </format>
    <format dxfId="3">
      <pivotArea outline="0" collapsedLevelsAreSubtotals="1" fieldPosition="0"/>
    </format>
    <format dxfId="2">
      <pivotArea dataOnly="0" labelOnly="1" outline="0" fieldPosition="0">
        <references count="1">
          <reference field="4294967294" count="4">
            <x v="0"/>
            <x v="1"/>
            <x v="2"/>
            <x v="3"/>
          </reference>
        </references>
      </pivotArea>
    </format>
    <format dxfId="1">
      <pivotArea outline="0" collapsedLevelsAreSubtotals="1" fieldPosition="0"/>
    </format>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hème Offic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drawing" Target="../drawings/drawing3.xml"/><Relationship Id="rId7" Type="http://schemas.openxmlformats.org/officeDocument/2006/relationships/ctrlProp" Target="../ctrlProps/ctrlProp7.xml"/><Relationship Id="rId2" Type="http://schemas.openxmlformats.org/officeDocument/2006/relationships/printerSettings" Target="../printerSettings/printerSettings3.bin"/><Relationship Id="rId1" Type="http://schemas.openxmlformats.org/officeDocument/2006/relationships/pivotTable" Target="../pivotTables/pivotTable1.xm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vmlDrawing" Target="../drawings/vmlDrawing3.vml"/><Relationship Id="rId9"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11"/>
  <sheetViews>
    <sheetView workbookViewId="0">
      <selection activeCell="A51" sqref="A51"/>
    </sheetView>
  </sheetViews>
  <sheetFormatPr baseColWidth="10" defaultColWidth="11.42578125" defaultRowHeight="12.75" x14ac:dyDescent="0.2"/>
  <cols>
    <col min="1" max="16384" width="11.42578125" style="37"/>
  </cols>
  <sheetData>
    <row r="11" spans="1:1" ht="14.25" x14ac:dyDescent="0.25">
      <c r="A11" s="77"/>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Bouton_Accueil_Cliquer">
                <anchor moveWithCells="1" sizeWithCells="1">
                  <from>
                    <xdr:col>0</xdr:col>
                    <xdr:colOff>76200</xdr:colOff>
                    <xdr:row>0</xdr:row>
                    <xdr:rowOff>85725</xdr:rowOff>
                  </from>
                  <to>
                    <xdr:col>1</xdr:col>
                    <xdr:colOff>466725</xdr:colOff>
                    <xdr:row>3</xdr:row>
                    <xdr:rowOff>104775</xdr:rowOff>
                  </to>
                </anchor>
              </controlPr>
            </control>
          </mc:Choice>
        </mc:AlternateContent>
        <mc:AlternateContent xmlns:mc="http://schemas.openxmlformats.org/markup-compatibility/2006">
          <mc:Choice Requires="x14">
            <control shapeId="30722" r:id="rId5" name="Button 2">
              <controlPr defaultSize="0" print="0" autoFill="0" autoPict="0" macro="[0]!Bouton_Trajets_Cliquer">
                <anchor moveWithCells="1" sizeWithCells="1">
                  <from>
                    <xdr:col>0</xdr:col>
                    <xdr:colOff>66675</xdr:colOff>
                    <xdr:row>4</xdr:row>
                    <xdr:rowOff>38100</xdr:rowOff>
                  </from>
                  <to>
                    <xdr:col>1</xdr:col>
                    <xdr:colOff>466725</xdr:colOff>
                    <xdr:row>7</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C1:L34"/>
  <sheetViews>
    <sheetView workbookViewId="0">
      <selection activeCell="D24" sqref="D24"/>
    </sheetView>
  </sheetViews>
  <sheetFormatPr baseColWidth="10" defaultColWidth="11.42578125" defaultRowHeight="12.75" x14ac:dyDescent="0.2"/>
  <cols>
    <col min="1" max="16384" width="11.42578125" style="75"/>
  </cols>
  <sheetData>
    <row r="1" spans="3:12" ht="18.75" customHeight="1" x14ac:dyDescent="0.2">
      <c r="C1" s="123" t="s">
        <v>116</v>
      </c>
      <c r="D1" s="124"/>
      <c r="E1" s="124"/>
      <c r="F1" s="124"/>
      <c r="G1" s="124"/>
      <c r="H1" s="124"/>
      <c r="I1" s="124"/>
      <c r="J1" s="124"/>
      <c r="K1" s="124"/>
      <c r="L1" s="125"/>
    </row>
    <row r="2" spans="3:12" ht="18.75" customHeight="1" x14ac:dyDescent="0.2">
      <c r="C2" s="126"/>
      <c r="D2" s="127"/>
      <c r="E2" s="127"/>
      <c r="F2" s="127"/>
      <c r="G2" s="127"/>
      <c r="H2" s="127"/>
      <c r="I2" s="127"/>
      <c r="J2" s="127"/>
      <c r="K2" s="127"/>
      <c r="L2" s="128"/>
    </row>
    <row r="3" spans="3:12" ht="18.75" customHeight="1" x14ac:dyDescent="0.2">
      <c r="C3" s="126"/>
      <c r="D3" s="127"/>
      <c r="E3" s="127"/>
      <c r="F3" s="127"/>
      <c r="G3" s="127"/>
      <c r="H3" s="127"/>
      <c r="I3" s="127"/>
      <c r="J3" s="127"/>
      <c r="K3" s="127"/>
      <c r="L3" s="128"/>
    </row>
    <row r="4" spans="3:12" ht="18.75" customHeight="1" x14ac:dyDescent="0.2">
      <c r="C4" s="129" t="s">
        <v>117</v>
      </c>
      <c r="D4" s="130"/>
      <c r="E4" s="130"/>
      <c r="F4" s="130"/>
      <c r="G4" s="130"/>
      <c r="H4" s="130"/>
      <c r="I4" s="130"/>
      <c r="J4" s="130"/>
      <c r="K4" s="130"/>
      <c r="L4" s="131"/>
    </row>
    <row r="5" spans="3:12" ht="18.75" customHeight="1" x14ac:dyDescent="0.2">
      <c r="C5" s="138" t="s">
        <v>118</v>
      </c>
      <c r="D5" s="136"/>
      <c r="E5" s="136"/>
      <c r="F5" s="136"/>
      <c r="G5" s="136"/>
      <c r="H5" s="136"/>
      <c r="I5" s="136"/>
      <c r="J5" s="136"/>
      <c r="K5" s="136"/>
      <c r="L5" s="137"/>
    </row>
    <row r="6" spans="3:12" ht="18.75" customHeight="1" x14ac:dyDescent="0.2">
      <c r="C6" s="138"/>
      <c r="D6" s="136"/>
      <c r="E6" s="136"/>
      <c r="F6" s="136"/>
      <c r="G6" s="136"/>
      <c r="H6" s="136"/>
      <c r="I6" s="136"/>
      <c r="J6" s="136"/>
      <c r="K6" s="136"/>
      <c r="L6" s="137"/>
    </row>
    <row r="7" spans="3:12" ht="18.75" customHeight="1" x14ac:dyDescent="0.2">
      <c r="C7" s="129" t="s">
        <v>119</v>
      </c>
      <c r="D7" s="130"/>
      <c r="E7" s="130"/>
      <c r="F7" s="130"/>
      <c r="G7" s="130"/>
      <c r="H7" s="130"/>
      <c r="I7" s="130"/>
      <c r="J7" s="130"/>
      <c r="K7" s="130"/>
      <c r="L7" s="131"/>
    </row>
    <row r="8" spans="3:12" ht="18.75" customHeight="1" x14ac:dyDescent="0.2">
      <c r="C8" s="78"/>
      <c r="D8" s="130" t="s">
        <v>120</v>
      </c>
      <c r="E8" s="130"/>
      <c r="F8" s="130"/>
      <c r="G8" s="130"/>
      <c r="H8" s="130"/>
      <c r="I8" s="130"/>
      <c r="J8" s="130"/>
      <c r="K8" s="130"/>
      <c r="L8" s="131"/>
    </row>
    <row r="9" spans="3:12" ht="18.75" customHeight="1" x14ac:dyDescent="0.2">
      <c r="C9" s="78"/>
      <c r="D9" s="130" t="s">
        <v>121</v>
      </c>
      <c r="E9" s="130"/>
      <c r="F9" s="130"/>
      <c r="G9" s="130"/>
      <c r="H9" s="130"/>
      <c r="I9" s="130"/>
      <c r="J9" s="130"/>
      <c r="K9" s="130"/>
      <c r="L9" s="131"/>
    </row>
    <row r="10" spans="3:12" ht="18.75" customHeight="1" x14ac:dyDescent="0.2">
      <c r="C10" s="78"/>
      <c r="D10" s="79"/>
      <c r="E10" s="141" t="s">
        <v>122</v>
      </c>
      <c r="F10" s="142"/>
      <c r="G10" s="142"/>
      <c r="H10" s="143"/>
      <c r="I10" s="79"/>
      <c r="J10" s="79"/>
      <c r="K10" s="79"/>
      <c r="L10" s="80"/>
    </row>
    <row r="11" spans="3:12" ht="18.75" customHeight="1" x14ac:dyDescent="0.2">
      <c r="C11" s="78"/>
      <c r="D11" s="79"/>
      <c r="E11" s="79"/>
      <c r="F11" s="79"/>
      <c r="G11" s="139" t="s">
        <v>123</v>
      </c>
      <c r="H11" s="139"/>
      <c r="I11" s="139"/>
      <c r="J11" s="139"/>
      <c r="K11" s="139"/>
      <c r="L11" s="140"/>
    </row>
    <row r="12" spans="3:12" ht="18.75" customHeight="1" x14ac:dyDescent="0.2">
      <c r="C12" s="78"/>
      <c r="D12" s="79"/>
      <c r="E12" s="79"/>
      <c r="F12" s="79"/>
      <c r="G12" s="139"/>
      <c r="H12" s="139"/>
      <c r="I12" s="139"/>
      <c r="J12" s="139"/>
      <c r="K12" s="139"/>
      <c r="L12" s="140"/>
    </row>
    <row r="13" spans="3:12" ht="18.75" customHeight="1" x14ac:dyDescent="0.2">
      <c r="C13" s="78"/>
      <c r="D13" s="136" t="s">
        <v>125</v>
      </c>
      <c r="E13" s="136"/>
      <c r="F13" s="136"/>
      <c r="G13" s="136"/>
      <c r="H13" s="136"/>
      <c r="I13" s="136"/>
      <c r="J13" s="136"/>
      <c r="K13" s="136"/>
      <c r="L13" s="137"/>
    </row>
    <row r="14" spans="3:12" ht="18.75" customHeight="1" x14ac:dyDescent="0.2">
      <c r="C14" s="78"/>
      <c r="D14" s="136"/>
      <c r="E14" s="136"/>
      <c r="F14" s="136"/>
      <c r="G14" s="136"/>
      <c r="H14" s="136"/>
      <c r="I14" s="136"/>
      <c r="J14" s="136"/>
      <c r="K14" s="136"/>
      <c r="L14" s="137"/>
    </row>
    <row r="15" spans="3:12" ht="18.75" customHeight="1" x14ac:dyDescent="0.2">
      <c r="C15" s="78"/>
      <c r="D15" s="132" t="s">
        <v>124</v>
      </c>
      <c r="E15" s="132"/>
      <c r="F15" s="132"/>
      <c r="G15" s="132"/>
      <c r="H15" s="132"/>
      <c r="I15" s="132"/>
      <c r="J15" s="132"/>
      <c r="K15" s="132"/>
      <c r="L15" s="133"/>
    </row>
    <row r="16" spans="3:12" ht="18.75" customHeight="1" x14ac:dyDescent="0.3">
      <c r="C16" s="81"/>
      <c r="D16" s="132"/>
      <c r="E16" s="132"/>
      <c r="F16" s="132"/>
      <c r="G16" s="132"/>
      <c r="H16" s="132"/>
      <c r="I16" s="132"/>
      <c r="J16" s="132"/>
      <c r="K16" s="132"/>
      <c r="L16" s="133"/>
    </row>
    <row r="17" spans="3:12" ht="18.75" customHeight="1" x14ac:dyDescent="0.25">
      <c r="C17" s="82"/>
      <c r="D17" s="132"/>
      <c r="E17" s="132"/>
      <c r="F17" s="132"/>
      <c r="G17" s="132"/>
      <c r="H17" s="132"/>
      <c r="I17" s="132"/>
      <c r="J17" s="132"/>
      <c r="K17" s="132"/>
      <c r="L17" s="133"/>
    </row>
    <row r="18" spans="3:12" ht="18.75" customHeight="1" thickBot="1" x14ac:dyDescent="0.3">
      <c r="C18" s="83"/>
      <c r="D18" s="134"/>
      <c r="E18" s="134"/>
      <c r="F18" s="134"/>
      <c r="G18" s="134"/>
      <c r="H18" s="134"/>
      <c r="I18" s="134"/>
      <c r="J18" s="134"/>
      <c r="K18" s="134"/>
      <c r="L18" s="135"/>
    </row>
    <row r="19" spans="3:12" ht="18.75" customHeight="1" x14ac:dyDescent="0.2"/>
    <row r="20" spans="3:12" ht="18.75" customHeight="1" x14ac:dyDescent="0.2"/>
    <row r="21" spans="3:12" ht="18.75" customHeight="1" x14ac:dyDescent="0.2"/>
    <row r="22" spans="3:12" ht="18.75" customHeight="1" x14ac:dyDescent="0.2"/>
    <row r="23" spans="3:12" ht="18.75" customHeight="1" x14ac:dyDescent="0.2"/>
    <row r="24" spans="3:12" ht="18.75" customHeight="1" x14ac:dyDescent="0.2"/>
    <row r="25" spans="3:12" ht="18.75" customHeight="1" x14ac:dyDescent="0.2"/>
    <row r="26" spans="3:12" ht="18.75" customHeight="1" x14ac:dyDescent="0.2"/>
    <row r="27" spans="3:12" ht="18.75" customHeight="1" x14ac:dyDescent="0.2"/>
    <row r="28" spans="3:12" ht="18.75" customHeight="1" x14ac:dyDescent="0.2"/>
    <row r="29" spans="3:12" ht="18.75" customHeight="1" x14ac:dyDescent="0.2"/>
    <row r="30" spans="3:12" ht="18.75" customHeight="1" x14ac:dyDescent="0.2"/>
    <row r="31" spans="3:12" ht="18.75" customHeight="1" x14ac:dyDescent="0.2"/>
    <row r="32" spans="3:12" ht="18.75" customHeight="1" x14ac:dyDescent="0.2"/>
    <row r="33" ht="18.75" customHeight="1" x14ac:dyDescent="0.2"/>
    <row r="34" ht="18.75" customHeight="1" x14ac:dyDescent="0.2"/>
  </sheetData>
  <mergeCells count="10">
    <mergeCell ref="C1:L3"/>
    <mergeCell ref="C4:L4"/>
    <mergeCell ref="C7:L7"/>
    <mergeCell ref="D8:L8"/>
    <mergeCell ref="D15:L18"/>
    <mergeCell ref="D13:L14"/>
    <mergeCell ref="C5:L6"/>
    <mergeCell ref="D9:L9"/>
    <mergeCell ref="G11:L12"/>
    <mergeCell ref="E10:H1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3" r:id="rId4" name="Button 3">
              <controlPr defaultSize="0" print="0" autoFill="0" autoPict="0" macro="[0]!Bouton_Accueil_Cliquer">
                <anchor moveWithCells="1" sizeWithCells="1">
                  <from>
                    <xdr:col>0</xdr:col>
                    <xdr:colOff>104775</xdr:colOff>
                    <xdr:row>0</xdr:row>
                    <xdr:rowOff>76200</xdr:rowOff>
                  </from>
                  <to>
                    <xdr:col>1</xdr:col>
                    <xdr:colOff>485775</xdr:colOff>
                    <xdr:row>2</xdr:row>
                    <xdr:rowOff>142875</xdr:rowOff>
                  </to>
                </anchor>
              </controlPr>
            </control>
          </mc:Choice>
        </mc:AlternateContent>
        <mc:AlternateContent xmlns:mc="http://schemas.openxmlformats.org/markup-compatibility/2006">
          <mc:Choice Requires="x14">
            <control shapeId="35844" r:id="rId5" name="Button 4">
              <controlPr defaultSize="0" print="0" autoFill="0" autoPict="0" macro="[0]!Bouton_Trajets_Cliquer">
                <anchor moveWithCells="1" sizeWithCells="1">
                  <from>
                    <xdr:col>0</xdr:col>
                    <xdr:colOff>104775</xdr:colOff>
                    <xdr:row>2</xdr:row>
                    <xdr:rowOff>219075</xdr:rowOff>
                  </from>
                  <to>
                    <xdr:col>1</xdr:col>
                    <xdr:colOff>485775</xdr:colOff>
                    <xdr:row>5</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6"/>
  <dimension ref="A1:AA40"/>
  <sheetViews>
    <sheetView showGridLines="0" tabSelected="1" workbookViewId="0"/>
  </sheetViews>
  <sheetFormatPr baseColWidth="10" defaultColWidth="11.42578125" defaultRowHeight="15" x14ac:dyDescent="0.25"/>
  <cols>
    <col min="1" max="1" width="3.42578125" style="40" customWidth="1"/>
    <col min="2" max="2" width="22" style="40" customWidth="1"/>
    <col min="3" max="4" width="3.42578125" style="40" customWidth="1"/>
    <col min="5" max="5" width="18.42578125" style="40" customWidth="1"/>
    <col min="6" max="6" width="22.42578125" style="40" customWidth="1"/>
    <col min="7" max="7" width="16.42578125" style="40" customWidth="1"/>
    <col min="8" max="8" width="21.140625" style="40" customWidth="1"/>
    <col min="9" max="9" width="17.85546875" style="40" customWidth="1"/>
    <col min="10" max="10" width="4.42578125" style="40" customWidth="1"/>
    <col min="11" max="11" width="1.85546875" style="40" customWidth="1"/>
    <col min="12" max="12" width="1.42578125" style="40" customWidth="1"/>
    <col min="13" max="13" width="21.85546875" style="56" customWidth="1"/>
    <col min="14" max="14" width="19.28515625" style="56" bestFit="1" customWidth="1"/>
    <col min="15" max="15" width="9.7109375" style="40" customWidth="1"/>
    <col min="16" max="16384" width="11.42578125" style="40"/>
  </cols>
  <sheetData>
    <row r="1" spans="1:27" ht="15.75" thickBot="1" x14ac:dyDescent="0.3">
      <c r="A1" s="122"/>
      <c r="E1" s="41" t="s">
        <v>69</v>
      </c>
      <c r="F1" s="42" t="s">
        <v>146</v>
      </c>
      <c r="G1" s="90" t="s">
        <v>86</v>
      </c>
      <c r="H1" s="91" t="str">
        <f>IF($F1="(Plusieurs éléments)","",IF($F1="(vide)","",IF($F1="(Tous)","",VLOOKUP($F1,$M$3:$N$23,2,FALSE))))</f>
        <v/>
      </c>
      <c r="M1" s="144" t="s">
        <v>91</v>
      </c>
      <c r="N1" s="144"/>
      <c r="O1" s="144"/>
      <c r="Z1" s="103" t="b">
        <v>1</v>
      </c>
      <c r="AA1" s="102"/>
    </row>
    <row r="2" spans="1:27" ht="15.75" thickTop="1" x14ac:dyDescent="0.25">
      <c r="B2" s="38" t="s">
        <v>80</v>
      </c>
      <c r="E2" s="43" t="s">
        <v>89</v>
      </c>
      <c r="F2" s="43"/>
      <c r="G2" s="42"/>
      <c r="M2" s="145"/>
      <c r="N2" s="145"/>
      <c r="O2" s="145"/>
    </row>
    <row r="3" spans="1:27" ht="30.75" thickBot="1" x14ac:dyDescent="0.3">
      <c r="B3" s="39" t="s">
        <v>147</v>
      </c>
      <c r="E3" s="44" t="s">
        <v>87</v>
      </c>
      <c r="F3" s="44" t="s">
        <v>83</v>
      </c>
      <c r="G3" s="45" t="s">
        <v>81</v>
      </c>
      <c r="H3" s="45" t="s">
        <v>82</v>
      </c>
      <c r="I3" s="68" t="s">
        <v>84</v>
      </c>
      <c r="J3"/>
      <c r="M3" s="46" t="s">
        <v>85</v>
      </c>
      <c r="N3" s="62" t="s">
        <v>90</v>
      </c>
      <c r="O3" s="47" t="s">
        <v>111</v>
      </c>
    </row>
    <row r="4" spans="1:27" ht="15.75" thickTop="1" x14ac:dyDescent="0.25">
      <c r="E4" s="85"/>
      <c r="F4" s="86"/>
      <c r="G4" s="87"/>
      <c r="H4" s="88"/>
      <c r="I4" s="89" t="str">
        <f>IF(GETPIVOTDATA("Kilométrage actuel de la voiture",$E$3)&gt;0,GETPIVOTDATA("Conso Totale (L)",$E$3)*100/GETPIVOTDATA("Kilométrage total",$E$3),"")</f>
        <v/>
      </c>
      <c r="J4"/>
      <c r="M4" s="48"/>
      <c r="N4" s="63"/>
      <c r="O4" s="49"/>
    </row>
    <row r="5" spans="1:27" x14ac:dyDescent="0.25">
      <c r="B5" s="40" t="s">
        <v>88</v>
      </c>
      <c r="M5" s="50"/>
      <c r="N5" s="64"/>
      <c r="O5" s="51"/>
    </row>
    <row r="6" spans="1:27" x14ac:dyDescent="0.25">
      <c r="E6" s="43" t="s">
        <v>96</v>
      </c>
      <c r="M6" s="50"/>
      <c r="N6" s="64"/>
      <c r="O6" s="51"/>
    </row>
    <row r="7" spans="1:27" x14ac:dyDescent="0.25">
      <c r="E7" s="157" t="s">
        <v>95</v>
      </c>
      <c r="F7" s="158"/>
      <c r="G7" s="153" t="s">
        <v>92</v>
      </c>
      <c r="H7" s="154"/>
      <c r="M7" s="52"/>
      <c r="N7" s="65"/>
      <c r="O7" s="53"/>
    </row>
    <row r="8" spans="1:27" x14ac:dyDescent="0.25">
      <c r="E8" s="155" t="s">
        <v>88</v>
      </c>
      <c r="F8" s="156"/>
      <c r="G8" s="57" t="s">
        <v>93</v>
      </c>
      <c r="H8" s="84" t="s">
        <v>88</v>
      </c>
      <c r="M8" s="52"/>
      <c r="N8" s="65"/>
      <c r="O8" s="53"/>
    </row>
    <row r="9" spans="1:27" x14ac:dyDescent="0.25">
      <c r="E9" s="155"/>
      <c r="F9" s="156"/>
      <c r="G9" s="58" t="s">
        <v>94</v>
      </c>
      <c r="H9" s="84" t="s">
        <v>88</v>
      </c>
      <c r="M9" s="52"/>
      <c r="N9" s="65"/>
      <c r="O9" s="53"/>
    </row>
    <row r="10" spans="1:27" x14ac:dyDescent="0.25">
      <c r="M10" s="52"/>
      <c r="N10" s="65"/>
      <c r="O10" s="53"/>
    </row>
    <row r="11" spans="1:27" x14ac:dyDescent="0.25">
      <c r="M11" s="52"/>
      <c r="N11" s="65"/>
      <c r="O11" s="53"/>
    </row>
    <row r="12" spans="1:27" x14ac:dyDescent="0.25">
      <c r="M12" s="52"/>
      <c r="N12" s="65"/>
      <c r="O12" s="53"/>
    </row>
    <row r="13" spans="1:27" x14ac:dyDescent="0.25">
      <c r="M13" s="52"/>
      <c r="N13" s="65"/>
      <c r="O13" s="53"/>
    </row>
    <row r="14" spans="1:27" ht="16.5" x14ac:dyDescent="0.3">
      <c r="F14" s="76"/>
      <c r="M14" s="52"/>
      <c r="N14" s="65"/>
      <c r="O14" s="53"/>
    </row>
    <row r="15" spans="1:27" x14ac:dyDescent="0.25">
      <c r="M15" s="52"/>
      <c r="N15" s="65"/>
      <c r="O15" s="53"/>
    </row>
    <row r="16" spans="1:27" x14ac:dyDescent="0.25">
      <c r="M16" s="52"/>
      <c r="N16" s="65"/>
      <c r="O16" s="53"/>
    </row>
    <row r="17" spans="2:15" x14ac:dyDescent="0.25">
      <c r="M17" s="52"/>
      <c r="N17" s="65"/>
      <c r="O17" s="53"/>
    </row>
    <row r="18" spans="2:15" x14ac:dyDescent="0.25">
      <c r="M18" s="52"/>
      <c r="N18" s="65"/>
      <c r="O18" s="53"/>
    </row>
    <row r="19" spans="2:15" ht="16.5" x14ac:dyDescent="0.3">
      <c r="F19" s="76"/>
      <c r="M19" s="52"/>
      <c r="N19" s="65"/>
      <c r="O19" s="53"/>
    </row>
    <row r="20" spans="2:15" x14ac:dyDescent="0.25">
      <c r="E20" s="152" t="s">
        <v>126</v>
      </c>
      <c r="F20" s="152"/>
      <c r="G20" s="152"/>
      <c r="H20" s="152"/>
      <c r="I20" s="152"/>
      <c r="M20" s="52"/>
      <c r="N20" s="65"/>
      <c r="O20" s="53"/>
    </row>
    <row r="21" spans="2:15" x14ac:dyDescent="0.25">
      <c r="B21" s="40" t="s">
        <v>88</v>
      </c>
      <c r="E21" s="112" t="s">
        <v>127</v>
      </c>
      <c r="F21" s="146" t="s">
        <v>128</v>
      </c>
      <c r="G21" s="146"/>
      <c r="H21" s="146"/>
      <c r="I21" s="147"/>
      <c r="M21" s="52"/>
      <c r="N21" s="65"/>
      <c r="O21" s="53"/>
    </row>
    <row r="22" spans="2:15" x14ac:dyDescent="0.25">
      <c r="E22" s="113" t="s">
        <v>132</v>
      </c>
      <c r="F22" s="146" t="s">
        <v>129</v>
      </c>
      <c r="G22" s="146"/>
      <c r="H22" s="146"/>
      <c r="I22" s="147"/>
      <c r="M22" s="52"/>
      <c r="N22" s="65"/>
      <c r="O22" s="53"/>
    </row>
    <row r="23" spans="2:15" x14ac:dyDescent="0.25">
      <c r="E23" s="118" t="s">
        <v>139</v>
      </c>
      <c r="F23" s="146" t="s">
        <v>140</v>
      </c>
      <c r="G23" s="146"/>
      <c r="H23" s="146"/>
      <c r="I23" s="147"/>
      <c r="M23" s="54"/>
      <c r="N23" s="66"/>
      <c r="O23" s="55"/>
    </row>
    <row r="24" spans="2:15" x14ac:dyDescent="0.25">
      <c r="E24" s="114" t="s">
        <v>133</v>
      </c>
      <c r="F24" s="146" t="s">
        <v>134</v>
      </c>
      <c r="G24" s="146"/>
      <c r="H24" s="146"/>
      <c r="I24" s="147"/>
    </row>
    <row r="25" spans="2:15" x14ac:dyDescent="0.25">
      <c r="E25" s="115" t="s">
        <v>130</v>
      </c>
      <c r="F25" s="146" t="s">
        <v>131</v>
      </c>
      <c r="G25" s="146"/>
      <c r="H25" s="146"/>
      <c r="I25" s="147"/>
    </row>
    <row r="27" spans="2:15" x14ac:dyDescent="0.25">
      <c r="E27" s="152" t="s">
        <v>137</v>
      </c>
      <c r="F27" s="152"/>
      <c r="G27" s="152"/>
      <c r="H27" s="152"/>
      <c r="I27" s="152"/>
    </row>
    <row r="28" spans="2:15" ht="15" customHeight="1" x14ac:dyDescent="0.25">
      <c r="E28" s="150" t="s">
        <v>135</v>
      </c>
      <c r="F28" s="148" t="s">
        <v>136</v>
      </c>
      <c r="G28" s="148"/>
      <c r="H28" s="148"/>
      <c r="I28" s="149"/>
      <c r="J28" s="56"/>
      <c r="K28" s="56"/>
      <c r="L28" s="56"/>
    </row>
    <row r="29" spans="2:15" x14ac:dyDescent="0.25">
      <c r="E29" s="151"/>
      <c r="F29" s="148"/>
      <c r="G29" s="148"/>
      <c r="H29" s="148"/>
      <c r="I29" s="149"/>
      <c r="J29" s="56"/>
      <c r="K29" s="56"/>
      <c r="L29" s="56"/>
    </row>
    <row r="30" spans="2:15" x14ac:dyDescent="0.25">
      <c r="E30" s="119" t="s">
        <v>141</v>
      </c>
      <c r="F30" s="148" t="s">
        <v>142</v>
      </c>
      <c r="G30" s="148"/>
      <c r="H30" s="148"/>
      <c r="I30" s="149"/>
      <c r="J30" s="56"/>
      <c r="K30" s="56"/>
      <c r="L30" s="56"/>
    </row>
    <row r="31" spans="2:15" x14ac:dyDescent="0.25">
      <c r="E31" s="120" t="s">
        <v>138</v>
      </c>
      <c r="F31" s="148" t="s">
        <v>143</v>
      </c>
      <c r="G31" s="148"/>
      <c r="H31" s="148"/>
      <c r="I31" s="149"/>
      <c r="J31" s="111"/>
    </row>
    <row r="32" spans="2:15" ht="15" customHeight="1" x14ac:dyDescent="0.25">
      <c r="E32" s="121" t="s">
        <v>144</v>
      </c>
      <c r="F32" s="148" t="s">
        <v>145</v>
      </c>
      <c r="G32" s="148"/>
      <c r="H32" s="148"/>
      <c r="I32" s="149"/>
    </row>
    <row r="38" spans="6:7" x14ac:dyDescent="0.25">
      <c r="G38" s="40" t="s">
        <v>88</v>
      </c>
    </row>
    <row r="40" spans="6:7" x14ac:dyDescent="0.25">
      <c r="F40" s="40" t="s">
        <v>88</v>
      </c>
    </row>
  </sheetData>
  <dataConsolidate/>
  <mergeCells count="16">
    <mergeCell ref="F32:I32"/>
    <mergeCell ref="F31:I31"/>
    <mergeCell ref="G7:H7"/>
    <mergeCell ref="E8:F9"/>
    <mergeCell ref="E7:F7"/>
    <mergeCell ref="M1:O2"/>
    <mergeCell ref="F21:I21"/>
    <mergeCell ref="F28:I29"/>
    <mergeCell ref="F30:I30"/>
    <mergeCell ref="E28:E29"/>
    <mergeCell ref="E20:I20"/>
    <mergeCell ref="E27:I27"/>
    <mergeCell ref="F22:I22"/>
    <mergeCell ref="F23:I23"/>
    <mergeCell ref="F24:I24"/>
    <mergeCell ref="F25:I25"/>
  </mergeCell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2529" r:id="rId5" name="Button 1">
              <controlPr defaultSize="0" print="0" autoFill="0" autoPict="0" macro="[0]!MYP_JSON_Decode">
                <anchor>
                  <from>
                    <xdr:col>0</xdr:col>
                    <xdr:colOff>114300</xdr:colOff>
                    <xdr:row>3</xdr:row>
                    <xdr:rowOff>171450</xdr:rowOff>
                  </from>
                  <to>
                    <xdr:col>2</xdr:col>
                    <xdr:colOff>38100</xdr:colOff>
                    <xdr:row>8</xdr:row>
                    <xdr:rowOff>47625</xdr:rowOff>
                  </to>
                </anchor>
              </controlPr>
            </control>
          </mc:Choice>
        </mc:AlternateContent>
        <mc:AlternateContent xmlns:mc="http://schemas.openxmlformats.org/markup-compatibility/2006">
          <mc:Choice Requires="x14">
            <control shapeId="22530" r:id="rId6" name="Button 2">
              <controlPr defaultSize="0" print="0" autoFill="0" autoPict="0" macro="[0]!Effacage_Donnees">
                <anchor>
                  <from>
                    <xdr:col>0</xdr:col>
                    <xdr:colOff>114300</xdr:colOff>
                    <xdr:row>8</xdr:row>
                    <xdr:rowOff>123825</xdr:rowOff>
                  </from>
                  <to>
                    <xdr:col>2</xdr:col>
                    <xdr:colOff>38100</xdr:colOff>
                    <xdr:row>11</xdr:row>
                    <xdr:rowOff>161925</xdr:rowOff>
                  </to>
                </anchor>
              </controlPr>
            </control>
          </mc:Choice>
        </mc:AlternateContent>
        <mc:AlternateContent xmlns:mc="http://schemas.openxmlformats.org/markup-compatibility/2006">
          <mc:Choice Requires="x14">
            <control shapeId="22531" r:id="rId7" name="Button 3">
              <controlPr defaultSize="0" print="0" autoFill="0" autoPict="0" macro="[0]!Bouton_Trajets_Cliquer">
                <anchor>
                  <from>
                    <xdr:col>0</xdr:col>
                    <xdr:colOff>114300</xdr:colOff>
                    <xdr:row>12</xdr:row>
                    <xdr:rowOff>47625</xdr:rowOff>
                  </from>
                  <to>
                    <xdr:col>2</xdr:col>
                    <xdr:colOff>38100</xdr:colOff>
                    <xdr:row>15</xdr:row>
                    <xdr:rowOff>57150</xdr:rowOff>
                  </to>
                </anchor>
              </controlPr>
            </control>
          </mc:Choice>
        </mc:AlternateContent>
        <mc:AlternateContent xmlns:mc="http://schemas.openxmlformats.org/markup-compatibility/2006">
          <mc:Choice Requires="x14">
            <control shapeId="22532" r:id="rId8" name="Button 4">
              <controlPr defaultSize="0" print="0" autoFill="0" autoPict="0" macro="[0]!Bouton_Tuto_Import_Cliquer" altText="Aller au Tutoriel d'Importation">
                <anchor>
                  <from>
                    <xdr:col>4</xdr:col>
                    <xdr:colOff>76200</xdr:colOff>
                    <xdr:row>11</xdr:row>
                    <xdr:rowOff>152400</xdr:rowOff>
                  </from>
                  <to>
                    <xdr:col>5</xdr:col>
                    <xdr:colOff>457200</xdr:colOff>
                    <xdr:row>14</xdr:row>
                    <xdr:rowOff>180975</xdr:rowOff>
                  </to>
                </anchor>
              </controlPr>
            </control>
          </mc:Choice>
        </mc:AlternateContent>
        <mc:AlternateContent xmlns:mc="http://schemas.openxmlformats.org/markup-compatibility/2006">
          <mc:Choice Requires="x14">
            <control shapeId="22533" r:id="rId9" name="Button 5">
              <controlPr defaultSize="0" print="0" autoFill="0" autoPict="0" macro="[0]!MYP_JSON_Encode">
                <anchor>
                  <from>
                    <xdr:col>0</xdr:col>
                    <xdr:colOff>114300</xdr:colOff>
                    <xdr:row>15</xdr:row>
                    <xdr:rowOff>104775</xdr:rowOff>
                  </from>
                  <to>
                    <xdr:col>2</xdr:col>
                    <xdr:colOff>38100</xdr:colOff>
                    <xdr:row>18</xdr:row>
                    <xdr:rowOff>180975</xdr:rowOff>
                  </to>
                </anchor>
              </controlPr>
            </control>
          </mc:Choice>
        </mc:AlternateContent>
        <mc:AlternateContent xmlns:mc="http://schemas.openxmlformats.org/markup-compatibility/2006">
          <mc:Choice Requires="x14">
            <control shapeId="22534" r:id="rId10" name="Button 6">
              <controlPr defaultSize="0" print="0" autoFill="0" autoPict="0" macro="[0]!Bouton_Tuto_Export_Cliquer" altText="Aller au Tutoriel d'Importation">
                <anchor>
                  <from>
                    <xdr:col>4</xdr:col>
                    <xdr:colOff>76200</xdr:colOff>
                    <xdr:row>15</xdr:row>
                    <xdr:rowOff>38100</xdr:rowOff>
                  </from>
                  <to>
                    <xdr:col>5</xdr:col>
                    <xdr:colOff>457200</xdr:colOff>
                    <xdr:row>18</xdr:row>
                    <xdr:rowOff>114300</xdr:rowOff>
                  </to>
                </anchor>
              </controlPr>
            </control>
          </mc:Choice>
        </mc:AlternateContent>
        <mc:AlternateContent xmlns:mc="http://schemas.openxmlformats.org/markup-compatibility/2006">
          <mc:Choice Requires="x14">
            <control shapeId="22536" r:id="rId11" name="Button 8">
              <controlPr defaultSize="0" print="0" autoFill="0" autoPict="0" macro="[0]!RemetAdresseDepuisGPS">
                <anchor>
                  <from>
                    <xdr:col>0</xdr:col>
                    <xdr:colOff>114300</xdr:colOff>
                    <xdr:row>19</xdr:row>
                    <xdr:rowOff>19050</xdr:rowOff>
                  </from>
                  <to>
                    <xdr:col>2</xdr:col>
                    <xdr:colOff>38100</xdr:colOff>
                    <xdr:row>22</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3"/>
  <dimension ref="A1:BN255"/>
  <sheetViews>
    <sheetView zoomScaleNormal="100" workbookViewId="0">
      <pane ySplit="2" topLeftCell="A3" activePane="bottomLeft" state="frozen"/>
      <selection pane="bottomLeft" activeCell="A3" sqref="A3"/>
    </sheetView>
  </sheetViews>
  <sheetFormatPr baseColWidth="10" defaultColWidth="11.42578125" defaultRowHeight="12.75" x14ac:dyDescent="0.2"/>
  <cols>
    <col min="1" max="1" width="17.28515625" style="22" customWidth="1"/>
    <col min="2" max="2" width="11.7109375" style="1" bestFit="1" customWidth="1"/>
    <col min="3" max="4" width="15.7109375" style="19" customWidth="1"/>
    <col min="5" max="5" width="10.7109375" style="110" customWidth="1"/>
    <col min="6" max="6" width="10.85546875" style="16" customWidth="1"/>
    <col min="7" max="7" width="9.85546875" style="16" customWidth="1"/>
    <col min="8" max="8" width="8.42578125" style="17" customWidth="1"/>
    <col min="9" max="9" width="9.85546875" style="18" customWidth="1"/>
    <col min="10" max="10" width="19.42578125" style="104" customWidth="1"/>
    <col min="11" max="11" width="18.42578125" style="104" bestFit="1" customWidth="1"/>
    <col min="12" max="12" width="44.7109375" style="104" customWidth="1"/>
    <col min="13" max="13" width="19.42578125" style="105" bestFit="1" customWidth="1"/>
    <col min="14" max="14" width="18.42578125" style="106" bestFit="1" customWidth="1"/>
    <col min="15" max="15" width="44.7109375" style="107" customWidth="1"/>
    <col min="16" max="16" width="14.140625" style="21" customWidth="1"/>
    <col min="17" max="17" width="13.7109375" style="20" customWidth="1"/>
    <col min="18" max="19" width="11.42578125" style="61" customWidth="1"/>
    <col min="20" max="21" width="21.42578125" style="104" customWidth="1"/>
    <col min="22" max="22" width="37.140625" style="93" customWidth="1"/>
    <col min="23" max="24" width="11.42578125" style="61" customWidth="1"/>
    <col min="25" max="25" width="13.140625" style="61" customWidth="1"/>
    <col min="26" max="33" width="11.42578125" style="61" customWidth="1"/>
    <col min="34" max="34" width="11.28515625" style="61" customWidth="1"/>
    <col min="35" max="35" width="11.42578125" style="61" customWidth="1"/>
    <col min="36" max="66" width="11.42578125" style="73"/>
    <col min="67" max="16384" width="11.42578125" style="1"/>
  </cols>
  <sheetData>
    <row r="1" spans="1:66" ht="32.25" customHeight="1" x14ac:dyDescent="0.2">
      <c r="A1" s="26"/>
      <c r="B1" s="26"/>
      <c r="C1" s="26"/>
      <c r="D1" s="26"/>
      <c r="E1" s="35" t="s">
        <v>68</v>
      </c>
      <c r="F1" s="23"/>
      <c r="G1" s="36"/>
      <c r="H1" s="25"/>
      <c r="I1" s="23"/>
      <c r="J1" s="25"/>
      <c r="K1" s="25"/>
      <c r="L1" s="24"/>
      <c r="M1" s="36"/>
      <c r="N1" s="72"/>
      <c r="O1" s="29"/>
      <c r="P1" s="30"/>
      <c r="Q1" s="31"/>
      <c r="R1" s="159" t="s">
        <v>108</v>
      </c>
      <c r="S1" s="160"/>
      <c r="T1" s="161"/>
      <c r="U1" s="161"/>
      <c r="V1" s="161"/>
      <c r="W1" s="160"/>
      <c r="X1" s="160"/>
      <c r="Y1" s="160"/>
      <c r="Z1" s="160"/>
      <c r="AA1" s="160"/>
      <c r="AB1" s="160"/>
      <c r="AC1" s="160"/>
      <c r="AD1" s="160"/>
      <c r="AE1" s="160"/>
      <c r="AF1" s="162"/>
      <c r="AG1" s="67"/>
      <c r="AH1" s="69"/>
      <c r="AI1" s="69"/>
    </row>
    <row r="2" spans="1:66" s="15" customFormat="1" ht="31.5" customHeight="1" x14ac:dyDescent="0.2">
      <c r="A2" s="32" t="s">
        <v>69</v>
      </c>
      <c r="B2" s="32" t="s">
        <v>54</v>
      </c>
      <c r="C2" s="33" t="s">
        <v>56</v>
      </c>
      <c r="D2" s="33" t="s">
        <v>57</v>
      </c>
      <c r="E2" s="27" t="s">
        <v>66</v>
      </c>
      <c r="F2" s="28" t="s">
        <v>71</v>
      </c>
      <c r="G2" s="28" t="s">
        <v>70</v>
      </c>
      <c r="H2" s="28" t="s">
        <v>73</v>
      </c>
      <c r="I2" s="28" t="s">
        <v>72</v>
      </c>
      <c r="J2" s="92" t="s">
        <v>75</v>
      </c>
      <c r="K2" s="92" t="s">
        <v>76</v>
      </c>
      <c r="L2" s="34" t="s">
        <v>74</v>
      </c>
      <c r="M2" s="71" t="s">
        <v>77</v>
      </c>
      <c r="N2" s="71" t="s">
        <v>78</v>
      </c>
      <c r="O2" s="34" t="s">
        <v>79</v>
      </c>
      <c r="P2" s="28" t="s">
        <v>58</v>
      </c>
      <c r="Q2" s="28" t="s">
        <v>67</v>
      </c>
      <c r="R2" s="59" t="s">
        <v>97</v>
      </c>
      <c r="S2" s="60" t="s">
        <v>98</v>
      </c>
      <c r="T2" s="60" t="s">
        <v>115</v>
      </c>
      <c r="U2" s="60" t="s">
        <v>114</v>
      </c>
      <c r="V2" s="60" t="s">
        <v>99</v>
      </c>
      <c r="W2" s="60" t="s">
        <v>100</v>
      </c>
      <c r="X2" s="60" t="s">
        <v>101</v>
      </c>
      <c r="Y2" s="60" t="s">
        <v>102</v>
      </c>
      <c r="Z2" s="60" t="s">
        <v>103</v>
      </c>
      <c r="AA2" s="60" t="s">
        <v>104</v>
      </c>
      <c r="AB2" s="60" t="s">
        <v>105</v>
      </c>
      <c r="AC2" s="60" t="s">
        <v>106</v>
      </c>
      <c r="AD2" s="60" t="s">
        <v>107</v>
      </c>
      <c r="AE2" s="60" t="s">
        <v>109</v>
      </c>
      <c r="AF2" s="60" t="s">
        <v>110</v>
      </c>
      <c r="AG2" s="60" t="s">
        <v>111</v>
      </c>
      <c r="AH2" s="70" t="s">
        <v>112</v>
      </c>
      <c r="AI2" s="70" t="s">
        <v>113</v>
      </c>
      <c r="AJ2" s="74"/>
      <c r="AK2" s="74"/>
      <c r="AL2" s="74"/>
      <c r="AM2" s="74"/>
      <c r="AN2" s="74"/>
      <c r="AO2" s="74"/>
      <c r="AP2" s="74"/>
      <c r="AQ2" s="74"/>
      <c r="AR2" s="74"/>
      <c r="AS2" s="74"/>
      <c r="AT2" s="74"/>
      <c r="AU2" s="74"/>
      <c r="AV2" s="74"/>
      <c r="AW2" s="74"/>
      <c r="AX2" s="74"/>
      <c r="AY2" s="74"/>
      <c r="AZ2" s="74"/>
      <c r="BA2" s="74"/>
      <c r="BB2" s="74"/>
      <c r="BC2" s="74"/>
      <c r="BD2" s="74"/>
      <c r="BE2" s="74"/>
      <c r="BF2" s="74"/>
      <c r="BG2" s="74"/>
      <c r="BH2" s="74"/>
      <c r="BI2" s="74"/>
      <c r="BJ2" s="74"/>
      <c r="BK2" s="74"/>
      <c r="BL2" s="74"/>
      <c r="BM2" s="74"/>
      <c r="BN2" s="74"/>
    </row>
    <row r="8" spans="1:66" s="108" customFormat="1" x14ac:dyDescent="0.2">
      <c r="A8" s="22"/>
      <c r="B8" s="1"/>
      <c r="C8" s="19"/>
      <c r="D8" s="19"/>
      <c r="E8" s="110"/>
      <c r="F8" s="16"/>
      <c r="G8" s="16"/>
      <c r="H8" s="17"/>
      <c r="I8" s="18"/>
      <c r="J8" s="104"/>
      <c r="K8" s="104"/>
      <c r="L8" s="104"/>
      <c r="M8" s="105"/>
      <c r="N8" s="106"/>
      <c r="O8" s="107"/>
      <c r="P8" s="21"/>
      <c r="Q8" s="20"/>
      <c r="R8" s="61"/>
      <c r="S8" s="61"/>
      <c r="T8" s="104"/>
      <c r="U8" s="104"/>
      <c r="V8" s="93"/>
      <c r="W8" s="61"/>
      <c r="X8" s="61"/>
      <c r="Y8" s="61"/>
      <c r="Z8" s="61"/>
      <c r="AA8" s="61"/>
      <c r="AB8" s="61"/>
      <c r="AC8" s="61"/>
      <c r="AD8" s="61"/>
      <c r="AE8" s="61"/>
      <c r="AF8" s="61"/>
      <c r="AG8" s="61"/>
      <c r="AH8" s="61"/>
      <c r="AI8" s="61"/>
      <c r="AJ8" s="109"/>
      <c r="AK8" s="109"/>
      <c r="AL8" s="109"/>
      <c r="AM8" s="109"/>
      <c r="AN8" s="109"/>
      <c r="AO8" s="109"/>
      <c r="AP8" s="109"/>
      <c r="AQ8" s="109"/>
      <c r="AR8" s="109"/>
      <c r="AS8" s="109"/>
      <c r="AT8" s="109"/>
      <c r="AU8" s="109"/>
      <c r="AV8" s="109"/>
      <c r="AW8" s="109"/>
      <c r="AX8" s="109"/>
      <c r="AY8" s="109"/>
      <c r="AZ8" s="109"/>
      <c r="BA8" s="109"/>
      <c r="BB8" s="109"/>
      <c r="BC8" s="109"/>
      <c r="BD8" s="109"/>
      <c r="BE8" s="109"/>
      <c r="BF8" s="109"/>
      <c r="BG8" s="109"/>
      <c r="BH8" s="109"/>
      <c r="BI8" s="109"/>
      <c r="BJ8" s="109"/>
      <c r="BK8" s="109"/>
      <c r="BL8" s="109"/>
      <c r="BM8" s="109"/>
      <c r="BN8" s="109"/>
    </row>
    <row r="234" spans="1:66" s="116" customFormat="1" x14ac:dyDescent="0.2">
      <c r="A234" s="22"/>
      <c r="B234" s="1"/>
      <c r="C234" s="19"/>
      <c r="D234" s="19"/>
      <c r="E234" s="110"/>
      <c r="F234" s="16"/>
      <c r="G234" s="16"/>
      <c r="H234" s="17"/>
      <c r="I234" s="18"/>
      <c r="J234" s="104"/>
      <c r="K234" s="104"/>
      <c r="L234" s="104"/>
      <c r="M234" s="105"/>
      <c r="N234" s="106"/>
      <c r="O234" s="107"/>
      <c r="P234" s="21"/>
      <c r="Q234" s="20"/>
      <c r="R234" s="61"/>
      <c r="S234" s="61"/>
      <c r="T234" s="104"/>
      <c r="U234" s="104"/>
      <c r="V234" s="93"/>
      <c r="W234" s="61"/>
      <c r="X234" s="61"/>
      <c r="Y234" s="61"/>
      <c r="Z234" s="61"/>
      <c r="AA234" s="61"/>
      <c r="AB234" s="61"/>
      <c r="AC234" s="61"/>
      <c r="AD234" s="61"/>
      <c r="AE234" s="61"/>
      <c r="AF234" s="61"/>
      <c r="AG234" s="61"/>
      <c r="AH234" s="61"/>
      <c r="AI234" s="61"/>
      <c r="AJ234" s="117"/>
      <c r="AK234" s="117"/>
      <c r="AL234" s="117"/>
      <c r="AM234" s="117"/>
      <c r="AN234" s="117"/>
      <c r="AO234" s="117"/>
      <c r="AP234" s="117"/>
      <c r="AQ234" s="117"/>
      <c r="AR234" s="117"/>
      <c r="AS234" s="117"/>
      <c r="AT234" s="117"/>
      <c r="AU234" s="117"/>
      <c r="AV234" s="117"/>
      <c r="AW234" s="117"/>
      <c r="AX234" s="117"/>
      <c r="AY234" s="117"/>
      <c r="AZ234" s="117"/>
      <c r="BA234" s="117"/>
      <c r="BB234" s="117"/>
      <c r="BC234" s="117"/>
      <c r="BD234" s="117"/>
      <c r="BE234" s="117"/>
      <c r="BF234" s="117"/>
      <c r="BG234" s="117"/>
      <c r="BH234" s="117"/>
      <c r="BI234" s="117"/>
      <c r="BJ234" s="117"/>
      <c r="BK234" s="117"/>
      <c r="BL234" s="117"/>
      <c r="BM234" s="117"/>
      <c r="BN234" s="117"/>
    </row>
    <row r="244" spans="1:66" s="116" customFormat="1" x14ac:dyDescent="0.2">
      <c r="A244" s="22"/>
      <c r="B244" s="1"/>
      <c r="C244" s="19"/>
      <c r="D244" s="19"/>
      <c r="E244" s="110"/>
      <c r="F244" s="16"/>
      <c r="G244" s="16"/>
      <c r="H244" s="17"/>
      <c r="I244" s="18"/>
      <c r="J244" s="104"/>
      <c r="K244" s="104"/>
      <c r="L244" s="104"/>
      <c r="M244" s="105"/>
      <c r="N244" s="106"/>
      <c r="O244" s="107"/>
      <c r="P244" s="21"/>
      <c r="Q244" s="20"/>
      <c r="R244" s="61"/>
      <c r="S244" s="61"/>
      <c r="T244" s="104"/>
      <c r="U244" s="104"/>
      <c r="V244" s="93"/>
      <c r="W244" s="61"/>
      <c r="X244" s="61"/>
      <c r="Y244" s="61"/>
      <c r="Z244" s="61"/>
      <c r="AA244" s="61"/>
      <c r="AB244" s="61"/>
      <c r="AC244" s="61"/>
      <c r="AD244" s="61"/>
      <c r="AE244" s="61"/>
      <c r="AF244" s="61"/>
      <c r="AG244" s="61"/>
      <c r="AH244" s="61"/>
      <c r="AI244" s="61"/>
      <c r="AJ244" s="117"/>
      <c r="AK244" s="117"/>
      <c r="AL244" s="117"/>
      <c r="AM244" s="117"/>
      <c r="AN244" s="117"/>
      <c r="AO244" s="117"/>
      <c r="AP244" s="117"/>
      <c r="AQ244" s="117"/>
      <c r="AR244" s="117"/>
      <c r="AS244" s="117"/>
      <c r="AT244" s="117"/>
      <c r="AU244" s="117"/>
      <c r="AV244" s="117"/>
      <c r="AW244" s="117"/>
      <c r="AX244" s="117"/>
      <c r="AY244" s="117"/>
      <c r="AZ244" s="117"/>
      <c r="BA244" s="117"/>
      <c r="BB244" s="117"/>
      <c r="BC244" s="117"/>
      <c r="BD244" s="117"/>
      <c r="BE244" s="117"/>
      <c r="BF244" s="117"/>
      <c r="BG244" s="117"/>
      <c r="BH244" s="117"/>
      <c r="BI244" s="117"/>
      <c r="BJ244" s="117"/>
      <c r="BK244" s="117"/>
      <c r="BL244" s="117"/>
      <c r="BM244" s="117"/>
      <c r="BN244" s="117"/>
    </row>
    <row r="255" spans="1:66" s="116" customFormat="1" x14ac:dyDescent="0.2">
      <c r="A255" s="22"/>
      <c r="B255" s="1"/>
      <c r="C255" s="19"/>
      <c r="D255" s="19"/>
      <c r="E255" s="110"/>
      <c r="F255" s="16"/>
      <c r="G255" s="16"/>
      <c r="H255" s="17"/>
      <c r="I255" s="18"/>
      <c r="J255" s="104"/>
      <c r="K255" s="104"/>
      <c r="L255" s="104"/>
      <c r="M255" s="105"/>
      <c r="N255" s="106"/>
      <c r="O255" s="107"/>
      <c r="P255" s="21"/>
      <c r="Q255" s="20"/>
      <c r="R255" s="61"/>
      <c r="S255" s="61"/>
      <c r="T255" s="104"/>
      <c r="U255" s="104"/>
      <c r="V255" s="93"/>
      <c r="W255" s="61"/>
      <c r="X255" s="61"/>
      <c r="Y255" s="61"/>
      <c r="Z255" s="61"/>
      <c r="AA255" s="61"/>
      <c r="AB255" s="61"/>
      <c r="AC255" s="61"/>
      <c r="AD255" s="61"/>
      <c r="AE255" s="61"/>
      <c r="AF255" s="61"/>
      <c r="AG255" s="61"/>
      <c r="AH255" s="61"/>
      <c r="AI255" s="61"/>
      <c r="AJ255" s="117"/>
      <c r="AK255" s="117"/>
      <c r="AL255" s="117"/>
      <c r="AM255" s="117"/>
      <c r="AN255" s="117"/>
      <c r="AO255" s="117"/>
      <c r="AP255" s="117"/>
      <c r="AQ255" s="117"/>
      <c r="AR255" s="117"/>
      <c r="AS255" s="117"/>
      <c r="AT255" s="117"/>
      <c r="AU255" s="117"/>
      <c r="AV255" s="117"/>
      <c r="AW255" s="117"/>
      <c r="AX255" s="117"/>
      <c r="AY255" s="117"/>
      <c r="AZ255" s="117"/>
      <c r="BA255" s="117"/>
      <c r="BB255" s="117"/>
      <c r="BC255" s="117"/>
      <c r="BD255" s="117"/>
      <c r="BE255" s="117"/>
      <c r="BF255" s="117"/>
      <c r="BG255" s="117"/>
      <c r="BH255" s="117"/>
      <c r="BI255" s="117"/>
      <c r="BJ255" s="117"/>
      <c r="BK255" s="117"/>
      <c r="BL255" s="117"/>
      <c r="BM255" s="117"/>
      <c r="BN255" s="117"/>
    </row>
  </sheetData>
  <autoFilter ref="A2:B2" xr:uid="{00000000-0009-0000-0000-000003000000}"/>
  <sortState xmlns:xlrd2="http://schemas.microsoft.com/office/spreadsheetml/2017/richdata2" ref="A3:AI1048419">
    <sortCondition ref="A3:A1048419"/>
    <sortCondition ref="B3:B1048419"/>
  </sortState>
  <dataConsolidate/>
  <mergeCells count="1">
    <mergeCell ref="R1:AF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75" r:id="rId4" name="Button 11">
              <controlPr defaultSize="0" print="0" autoFill="0" autoPict="0" macro="[0]!Bouton_Accueil_Cliquer">
                <anchor moveWithCells="1" sizeWithCells="1">
                  <from>
                    <xdr:col>0</xdr:col>
                    <xdr:colOff>76200</xdr:colOff>
                    <xdr:row>0</xdr:row>
                    <xdr:rowOff>38100</xdr:rowOff>
                  </from>
                  <to>
                    <xdr:col>1</xdr:col>
                    <xdr:colOff>190500</xdr:colOff>
                    <xdr:row>0</xdr:row>
                    <xdr:rowOff>390525</xdr:rowOff>
                  </to>
                </anchor>
              </controlPr>
            </control>
          </mc:Choice>
        </mc:AlternateContent>
        <mc:AlternateContent xmlns:mc="http://schemas.openxmlformats.org/markup-compatibility/2006">
          <mc:Choice Requires="x14">
            <control shapeId="11276" r:id="rId5" name="Button 12">
              <controlPr defaultSize="0" print="0" autoFill="0" autoPict="0" macro="[0]!Bouton_Accueil_Cliquer">
                <anchor moveWithCells="1" sizeWithCells="1">
                  <from>
                    <xdr:col>15</xdr:col>
                    <xdr:colOff>676275</xdr:colOff>
                    <xdr:row>0</xdr:row>
                    <xdr:rowOff>28575</xdr:rowOff>
                  </from>
                  <to>
                    <xdr:col>16</xdr:col>
                    <xdr:colOff>876300</xdr:colOff>
                    <xdr:row>0</xdr:row>
                    <xdr:rowOff>381000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5"/>
  <dimension ref="A1:I55"/>
  <sheetViews>
    <sheetView workbookViewId="0">
      <selection activeCell="N28" sqref="N28"/>
    </sheetView>
  </sheetViews>
  <sheetFormatPr baseColWidth="10" defaultColWidth="11.42578125" defaultRowHeight="12.75" x14ac:dyDescent="0.2"/>
  <cols>
    <col min="2" max="2" width="17.7109375" style="99" bestFit="1" customWidth="1"/>
    <col min="4" max="4" width="20.28515625" style="101" bestFit="1" customWidth="1"/>
  </cols>
  <sheetData>
    <row r="1" spans="1:9" x14ac:dyDescent="0.2">
      <c r="A1" s="2" t="s">
        <v>59</v>
      </c>
      <c r="B1" s="11" t="s">
        <v>63</v>
      </c>
      <c r="C1" s="3" t="s">
        <v>60</v>
      </c>
      <c r="D1" s="100" t="s">
        <v>62</v>
      </c>
      <c r="E1" s="94" t="s">
        <v>61</v>
      </c>
      <c r="F1" s="4">
        <f>MAX(B1:B10000)</f>
        <v>0</v>
      </c>
      <c r="G1" s="5" t="s">
        <v>2</v>
      </c>
    </row>
    <row r="3" spans="1:9" x14ac:dyDescent="0.2">
      <c r="E3" s="95" t="s">
        <v>2</v>
      </c>
      <c r="F3" s="7" t="s">
        <v>53</v>
      </c>
      <c r="G3" s="8" t="s">
        <v>0</v>
      </c>
      <c r="H3" s="8" t="s">
        <v>55</v>
      </c>
      <c r="I3" s="8" t="s">
        <v>1</v>
      </c>
    </row>
    <row r="4" spans="1:9" x14ac:dyDescent="0.2">
      <c r="E4" s="96" t="s">
        <v>3</v>
      </c>
      <c r="F4" s="13">
        <v>0</v>
      </c>
      <c r="G4" s="14" t="e">
        <f t="shared" ref="G4:G53" si="0">F4/$F$55*100</f>
        <v>#DIV/0!</v>
      </c>
      <c r="H4" s="14">
        <v>0</v>
      </c>
      <c r="I4" s="14" t="e">
        <f t="shared" ref="I4:I53" si="1">H4/$H$55*100</f>
        <v>#DIV/0!</v>
      </c>
    </row>
    <row r="5" spans="1:9" x14ac:dyDescent="0.2">
      <c r="E5" s="96" t="s">
        <v>4</v>
      </c>
      <c r="F5" s="13">
        <v>0</v>
      </c>
      <c r="G5" s="14" t="e">
        <f t="shared" si="0"/>
        <v>#DIV/0!</v>
      </c>
      <c r="H5" s="14">
        <v>0</v>
      </c>
      <c r="I5" s="14" t="e">
        <f t="shared" si="1"/>
        <v>#DIV/0!</v>
      </c>
    </row>
    <row r="6" spans="1:9" x14ac:dyDescent="0.2">
      <c r="E6" s="96" t="s">
        <v>5</v>
      </c>
      <c r="F6" s="13">
        <v>0</v>
      </c>
      <c r="G6" s="14" t="e">
        <f t="shared" si="0"/>
        <v>#DIV/0!</v>
      </c>
      <c r="H6" s="14">
        <v>0</v>
      </c>
      <c r="I6" s="14" t="e">
        <f t="shared" si="1"/>
        <v>#DIV/0!</v>
      </c>
    </row>
    <row r="7" spans="1:9" x14ac:dyDescent="0.2">
      <c r="E7" s="96" t="s">
        <v>6</v>
      </c>
      <c r="F7" s="13">
        <v>0</v>
      </c>
      <c r="G7" s="14" t="e">
        <f t="shared" si="0"/>
        <v>#DIV/0!</v>
      </c>
      <c r="H7" s="14">
        <v>0</v>
      </c>
      <c r="I7" s="14" t="e">
        <f t="shared" si="1"/>
        <v>#DIV/0!</v>
      </c>
    </row>
    <row r="8" spans="1:9" x14ac:dyDescent="0.2">
      <c r="E8" s="96" t="s">
        <v>7</v>
      </c>
      <c r="F8" s="13">
        <v>0</v>
      </c>
      <c r="G8" s="14" t="e">
        <f t="shared" si="0"/>
        <v>#DIV/0!</v>
      </c>
      <c r="H8" s="14">
        <v>0</v>
      </c>
      <c r="I8" s="14" t="e">
        <f t="shared" si="1"/>
        <v>#DIV/0!</v>
      </c>
    </row>
    <row r="9" spans="1:9" x14ac:dyDescent="0.2">
      <c r="E9" s="96" t="s">
        <v>8</v>
      </c>
      <c r="F9" s="13">
        <v>0</v>
      </c>
      <c r="G9" s="14" t="e">
        <f t="shared" si="0"/>
        <v>#DIV/0!</v>
      </c>
      <c r="H9" s="14">
        <v>0</v>
      </c>
      <c r="I9" s="14" t="e">
        <f t="shared" si="1"/>
        <v>#DIV/0!</v>
      </c>
    </row>
    <row r="10" spans="1:9" x14ac:dyDescent="0.2">
      <c r="E10" s="96" t="s">
        <v>9</v>
      </c>
      <c r="F10" s="13">
        <v>0</v>
      </c>
      <c r="G10" s="14" t="e">
        <f t="shared" si="0"/>
        <v>#DIV/0!</v>
      </c>
      <c r="H10" s="14">
        <v>0</v>
      </c>
      <c r="I10" s="14" t="e">
        <f t="shared" si="1"/>
        <v>#DIV/0!</v>
      </c>
    </row>
    <row r="11" spans="1:9" x14ac:dyDescent="0.2">
      <c r="E11" s="96" t="s">
        <v>10</v>
      </c>
      <c r="F11" s="13">
        <v>0</v>
      </c>
      <c r="G11" s="14" t="e">
        <f t="shared" si="0"/>
        <v>#DIV/0!</v>
      </c>
      <c r="H11" s="14">
        <v>0</v>
      </c>
      <c r="I11" s="14" t="e">
        <f t="shared" si="1"/>
        <v>#DIV/0!</v>
      </c>
    </row>
    <row r="12" spans="1:9" x14ac:dyDescent="0.2">
      <c r="E12" s="96" t="s">
        <v>11</v>
      </c>
      <c r="F12" s="13">
        <v>0</v>
      </c>
      <c r="G12" s="14" t="e">
        <f t="shared" si="0"/>
        <v>#DIV/0!</v>
      </c>
      <c r="H12" s="14">
        <v>0</v>
      </c>
      <c r="I12" s="14" t="e">
        <f t="shared" si="1"/>
        <v>#DIV/0!</v>
      </c>
    </row>
    <row r="13" spans="1:9" x14ac:dyDescent="0.2">
      <c r="E13" s="96" t="s">
        <v>12</v>
      </c>
      <c r="F13" s="13">
        <v>0</v>
      </c>
      <c r="G13" s="14" t="e">
        <f t="shared" si="0"/>
        <v>#DIV/0!</v>
      </c>
      <c r="H13" s="14">
        <v>0</v>
      </c>
      <c r="I13" s="14" t="e">
        <f t="shared" si="1"/>
        <v>#DIV/0!</v>
      </c>
    </row>
    <row r="14" spans="1:9" x14ac:dyDescent="0.2">
      <c r="E14" s="96" t="s">
        <v>13</v>
      </c>
      <c r="F14" s="13">
        <v>0</v>
      </c>
      <c r="G14" s="14" t="e">
        <f t="shared" si="0"/>
        <v>#DIV/0!</v>
      </c>
      <c r="H14" s="14">
        <v>0</v>
      </c>
      <c r="I14" s="14" t="e">
        <f t="shared" si="1"/>
        <v>#DIV/0!</v>
      </c>
    </row>
    <row r="15" spans="1:9" x14ac:dyDescent="0.2">
      <c r="E15" s="96" t="s">
        <v>14</v>
      </c>
      <c r="F15" s="13">
        <v>0</v>
      </c>
      <c r="G15" s="14" t="e">
        <f t="shared" si="0"/>
        <v>#DIV/0!</v>
      </c>
      <c r="H15" s="14">
        <v>0</v>
      </c>
      <c r="I15" s="14" t="e">
        <f t="shared" si="1"/>
        <v>#DIV/0!</v>
      </c>
    </row>
    <row r="16" spans="1:9" x14ac:dyDescent="0.2">
      <c r="E16" s="96" t="s">
        <v>15</v>
      </c>
      <c r="F16" s="13">
        <v>0</v>
      </c>
      <c r="G16" s="14" t="e">
        <f t="shared" si="0"/>
        <v>#DIV/0!</v>
      </c>
      <c r="H16" s="14">
        <v>0</v>
      </c>
      <c r="I16" s="14" t="e">
        <f t="shared" si="1"/>
        <v>#DIV/0!</v>
      </c>
    </row>
    <row r="17" spans="5:9" x14ac:dyDescent="0.2">
      <c r="E17" s="96" t="s">
        <v>16</v>
      </c>
      <c r="F17" s="13">
        <v>0</v>
      </c>
      <c r="G17" s="14" t="e">
        <f t="shared" si="0"/>
        <v>#DIV/0!</v>
      </c>
      <c r="H17" s="14">
        <v>0</v>
      </c>
      <c r="I17" s="14" t="e">
        <f t="shared" si="1"/>
        <v>#DIV/0!</v>
      </c>
    </row>
    <row r="18" spans="5:9" x14ac:dyDescent="0.2">
      <c r="E18" s="96" t="s">
        <v>17</v>
      </c>
      <c r="F18" s="13">
        <v>0</v>
      </c>
      <c r="G18" s="14" t="e">
        <f t="shared" si="0"/>
        <v>#DIV/0!</v>
      </c>
      <c r="H18" s="14">
        <v>0</v>
      </c>
      <c r="I18" s="14" t="e">
        <f t="shared" si="1"/>
        <v>#DIV/0!</v>
      </c>
    </row>
    <row r="19" spans="5:9" x14ac:dyDescent="0.2">
      <c r="E19" s="96" t="s">
        <v>18</v>
      </c>
      <c r="F19" s="13">
        <v>0</v>
      </c>
      <c r="G19" s="14" t="e">
        <f t="shared" si="0"/>
        <v>#DIV/0!</v>
      </c>
      <c r="H19" s="14">
        <v>0</v>
      </c>
      <c r="I19" s="14" t="e">
        <f t="shared" si="1"/>
        <v>#DIV/0!</v>
      </c>
    </row>
    <row r="20" spans="5:9" x14ac:dyDescent="0.2">
      <c r="E20" s="96" t="s">
        <v>19</v>
      </c>
      <c r="F20" s="13">
        <v>0</v>
      </c>
      <c r="G20" s="14" t="e">
        <f t="shared" si="0"/>
        <v>#DIV/0!</v>
      </c>
      <c r="H20" s="14">
        <v>0</v>
      </c>
      <c r="I20" s="14" t="e">
        <f t="shared" si="1"/>
        <v>#DIV/0!</v>
      </c>
    </row>
    <row r="21" spans="5:9" x14ac:dyDescent="0.2">
      <c r="E21" s="96" t="s">
        <v>20</v>
      </c>
      <c r="F21" s="13">
        <v>0</v>
      </c>
      <c r="G21" s="14" t="e">
        <f t="shared" si="0"/>
        <v>#DIV/0!</v>
      </c>
      <c r="H21" s="14">
        <v>0</v>
      </c>
      <c r="I21" s="14" t="e">
        <f t="shared" si="1"/>
        <v>#DIV/0!</v>
      </c>
    </row>
    <row r="22" spans="5:9" x14ac:dyDescent="0.2">
      <c r="E22" s="96" t="s">
        <v>21</v>
      </c>
      <c r="F22" s="13">
        <v>0</v>
      </c>
      <c r="G22" s="14" t="e">
        <f t="shared" si="0"/>
        <v>#DIV/0!</v>
      </c>
      <c r="H22" s="14">
        <v>0</v>
      </c>
      <c r="I22" s="14" t="e">
        <f t="shared" si="1"/>
        <v>#DIV/0!</v>
      </c>
    </row>
    <row r="23" spans="5:9" x14ac:dyDescent="0.2">
      <c r="E23" s="96" t="s">
        <v>22</v>
      </c>
      <c r="F23" s="13">
        <v>0</v>
      </c>
      <c r="G23" s="14" t="e">
        <f t="shared" si="0"/>
        <v>#DIV/0!</v>
      </c>
      <c r="H23" s="14">
        <v>0</v>
      </c>
      <c r="I23" s="14" t="e">
        <f t="shared" si="1"/>
        <v>#DIV/0!</v>
      </c>
    </row>
    <row r="24" spans="5:9" x14ac:dyDescent="0.2">
      <c r="E24" s="96" t="s">
        <v>23</v>
      </c>
      <c r="F24" s="13">
        <v>0</v>
      </c>
      <c r="G24" s="14" t="e">
        <f t="shared" si="0"/>
        <v>#DIV/0!</v>
      </c>
      <c r="H24" s="14">
        <v>0</v>
      </c>
      <c r="I24" s="14" t="e">
        <f t="shared" si="1"/>
        <v>#DIV/0!</v>
      </c>
    </row>
    <row r="25" spans="5:9" x14ac:dyDescent="0.2">
      <c r="E25" s="96" t="s">
        <v>24</v>
      </c>
      <c r="F25" s="13">
        <v>0</v>
      </c>
      <c r="G25" s="14" t="e">
        <f t="shared" si="0"/>
        <v>#DIV/0!</v>
      </c>
      <c r="H25" s="14">
        <v>0</v>
      </c>
      <c r="I25" s="14" t="e">
        <f t="shared" si="1"/>
        <v>#DIV/0!</v>
      </c>
    </row>
    <row r="26" spans="5:9" x14ac:dyDescent="0.2">
      <c r="E26" s="96" t="s">
        <v>25</v>
      </c>
      <c r="F26" s="13">
        <v>0</v>
      </c>
      <c r="G26" s="14" t="e">
        <f t="shared" si="0"/>
        <v>#DIV/0!</v>
      </c>
      <c r="H26" s="14">
        <v>0</v>
      </c>
      <c r="I26" s="14" t="e">
        <f t="shared" si="1"/>
        <v>#DIV/0!</v>
      </c>
    </row>
    <row r="27" spans="5:9" x14ac:dyDescent="0.2">
      <c r="E27" s="96" t="s">
        <v>26</v>
      </c>
      <c r="F27" s="13">
        <v>0</v>
      </c>
      <c r="G27" s="14" t="e">
        <f t="shared" si="0"/>
        <v>#DIV/0!</v>
      </c>
      <c r="H27" s="14">
        <v>0</v>
      </c>
      <c r="I27" s="14" t="e">
        <f t="shared" si="1"/>
        <v>#DIV/0!</v>
      </c>
    </row>
    <row r="28" spans="5:9" x14ac:dyDescent="0.2">
      <c r="E28" s="96" t="s">
        <v>27</v>
      </c>
      <c r="F28" s="13">
        <v>0</v>
      </c>
      <c r="G28" s="14" t="e">
        <f t="shared" si="0"/>
        <v>#DIV/0!</v>
      </c>
      <c r="H28" s="14">
        <v>0</v>
      </c>
      <c r="I28" s="14" t="e">
        <f t="shared" si="1"/>
        <v>#DIV/0!</v>
      </c>
    </row>
    <row r="29" spans="5:9" x14ac:dyDescent="0.2">
      <c r="E29" s="96" t="s">
        <v>28</v>
      </c>
      <c r="F29" s="13">
        <v>0</v>
      </c>
      <c r="G29" s="14" t="e">
        <f t="shared" si="0"/>
        <v>#DIV/0!</v>
      </c>
      <c r="H29" s="14">
        <v>0</v>
      </c>
      <c r="I29" s="14" t="e">
        <f t="shared" si="1"/>
        <v>#DIV/0!</v>
      </c>
    </row>
    <row r="30" spans="5:9" x14ac:dyDescent="0.2">
      <c r="E30" s="96" t="s">
        <v>29</v>
      </c>
      <c r="F30" s="13">
        <v>0</v>
      </c>
      <c r="G30" s="14" t="e">
        <f t="shared" si="0"/>
        <v>#DIV/0!</v>
      </c>
      <c r="H30" s="14">
        <v>0</v>
      </c>
      <c r="I30" s="14" t="e">
        <f t="shared" si="1"/>
        <v>#DIV/0!</v>
      </c>
    </row>
    <row r="31" spans="5:9" x14ac:dyDescent="0.2">
      <c r="E31" s="96" t="s">
        <v>30</v>
      </c>
      <c r="F31" s="13">
        <v>0</v>
      </c>
      <c r="G31" s="14" t="e">
        <f t="shared" si="0"/>
        <v>#DIV/0!</v>
      </c>
      <c r="H31" s="14">
        <v>0</v>
      </c>
      <c r="I31" s="14" t="e">
        <f t="shared" si="1"/>
        <v>#DIV/0!</v>
      </c>
    </row>
    <row r="32" spans="5:9" x14ac:dyDescent="0.2">
      <c r="E32" s="96" t="s">
        <v>31</v>
      </c>
      <c r="F32" s="13">
        <v>0</v>
      </c>
      <c r="G32" s="14" t="e">
        <f t="shared" si="0"/>
        <v>#DIV/0!</v>
      </c>
      <c r="H32" s="14">
        <v>0</v>
      </c>
      <c r="I32" s="14" t="e">
        <f t="shared" si="1"/>
        <v>#DIV/0!</v>
      </c>
    </row>
    <row r="33" spans="5:9" x14ac:dyDescent="0.2">
      <c r="E33" s="96" t="s">
        <v>32</v>
      </c>
      <c r="F33" s="13">
        <v>0</v>
      </c>
      <c r="G33" s="14" t="e">
        <f t="shared" si="0"/>
        <v>#DIV/0!</v>
      </c>
      <c r="H33" s="14">
        <v>0</v>
      </c>
      <c r="I33" s="14" t="e">
        <f t="shared" si="1"/>
        <v>#DIV/0!</v>
      </c>
    </row>
    <row r="34" spans="5:9" x14ac:dyDescent="0.2">
      <c r="E34" s="96" t="s">
        <v>33</v>
      </c>
      <c r="F34" s="13">
        <v>0</v>
      </c>
      <c r="G34" s="14" t="e">
        <f t="shared" si="0"/>
        <v>#DIV/0!</v>
      </c>
      <c r="H34" s="14">
        <v>0</v>
      </c>
      <c r="I34" s="14" t="e">
        <f t="shared" si="1"/>
        <v>#DIV/0!</v>
      </c>
    </row>
    <row r="35" spans="5:9" x14ac:dyDescent="0.2">
      <c r="E35" s="96" t="s">
        <v>34</v>
      </c>
      <c r="F35" s="13">
        <v>0</v>
      </c>
      <c r="G35" s="14" t="e">
        <f t="shared" si="0"/>
        <v>#DIV/0!</v>
      </c>
      <c r="H35" s="14">
        <v>0</v>
      </c>
      <c r="I35" s="14" t="e">
        <f t="shared" si="1"/>
        <v>#DIV/0!</v>
      </c>
    </row>
    <row r="36" spans="5:9" x14ac:dyDescent="0.2">
      <c r="E36" s="96" t="s">
        <v>35</v>
      </c>
      <c r="F36" s="13">
        <v>0</v>
      </c>
      <c r="G36" s="14" t="e">
        <f t="shared" si="0"/>
        <v>#DIV/0!</v>
      </c>
      <c r="H36" s="14">
        <v>0</v>
      </c>
      <c r="I36" s="14" t="e">
        <f t="shared" si="1"/>
        <v>#DIV/0!</v>
      </c>
    </row>
    <row r="37" spans="5:9" x14ac:dyDescent="0.2">
      <c r="E37" s="96" t="s">
        <v>36</v>
      </c>
      <c r="F37" s="13">
        <v>0</v>
      </c>
      <c r="G37" s="14" t="e">
        <f t="shared" si="0"/>
        <v>#DIV/0!</v>
      </c>
      <c r="H37" s="14">
        <v>0</v>
      </c>
      <c r="I37" s="14" t="e">
        <f t="shared" si="1"/>
        <v>#DIV/0!</v>
      </c>
    </row>
    <row r="38" spans="5:9" x14ac:dyDescent="0.2">
      <c r="E38" s="96" t="s">
        <v>37</v>
      </c>
      <c r="F38" s="13">
        <v>0</v>
      </c>
      <c r="G38" s="14" t="e">
        <f t="shared" si="0"/>
        <v>#DIV/0!</v>
      </c>
      <c r="H38" s="14">
        <v>0</v>
      </c>
      <c r="I38" s="14" t="e">
        <f t="shared" si="1"/>
        <v>#DIV/0!</v>
      </c>
    </row>
    <row r="39" spans="5:9" x14ac:dyDescent="0.2">
      <c r="E39" s="96" t="s">
        <v>38</v>
      </c>
      <c r="F39" s="13">
        <v>0</v>
      </c>
      <c r="G39" s="14" t="e">
        <f t="shared" si="0"/>
        <v>#DIV/0!</v>
      </c>
      <c r="H39" s="14">
        <v>0</v>
      </c>
      <c r="I39" s="14" t="e">
        <f t="shared" si="1"/>
        <v>#DIV/0!</v>
      </c>
    </row>
    <row r="40" spans="5:9" x14ac:dyDescent="0.2">
      <c r="E40" s="96" t="s">
        <v>39</v>
      </c>
      <c r="F40" s="13">
        <v>0</v>
      </c>
      <c r="G40" s="14" t="e">
        <f t="shared" si="0"/>
        <v>#DIV/0!</v>
      </c>
      <c r="H40" s="14">
        <v>0</v>
      </c>
      <c r="I40" s="14" t="e">
        <f t="shared" si="1"/>
        <v>#DIV/0!</v>
      </c>
    </row>
    <row r="41" spans="5:9" x14ac:dyDescent="0.2">
      <c r="E41" s="96" t="s">
        <v>40</v>
      </c>
      <c r="F41" s="13">
        <v>0</v>
      </c>
      <c r="G41" s="14" t="e">
        <f t="shared" si="0"/>
        <v>#DIV/0!</v>
      </c>
      <c r="H41" s="14">
        <v>0</v>
      </c>
      <c r="I41" s="14" t="e">
        <f t="shared" si="1"/>
        <v>#DIV/0!</v>
      </c>
    </row>
    <row r="42" spans="5:9" x14ac:dyDescent="0.2">
      <c r="E42" s="96" t="s">
        <v>41</v>
      </c>
      <c r="F42" s="13">
        <v>0</v>
      </c>
      <c r="G42" s="14" t="e">
        <f t="shared" si="0"/>
        <v>#DIV/0!</v>
      </c>
      <c r="H42" s="14">
        <v>0</v>
      </c>
      <c r="I42" s="14" t="e">
        <f t="shared" si="1"/>
        <v>#DIV/0!</v>
      </c>
    </row>
    <row r="43" spans="5:9" x14ac:dyDescent="0.2">
      <c r="E43" s="96" t="s">
        <v>42</v>
      </c>
      <c r="F43" s="13">
        <v>0</v>
      </c>
      <c r="G43" s="14" t="e">
        <f t="shared" si="0"/>
        <v>#DIV/0!</v>
      </c>
      <c r="H43" s="14">
        <v>0</v>
      </c>
      <c r="I43" s="14" t="e">
        <f t="shared" si="1"/>
        <v>#DIV/0!</v>
      </c>
    </row>
    <row r="44" spans="5:9" x14ac:dyDescent="0.2">
      <c r="E44" s="96" t="s">
        <v>43</v>
      </c>
      <c r="F44" s="13">
        <v>0</v>
      </c>
      <c r="G44" s="14" t="e">
        <f t="shared" si="0"/>
        <v>#DIV/0!</v>
      </c>
      <c r="H44" s="14">
        <v>0</v>
      </c>
      <c r="I44" s="14" t="e">
        <f t="shared" si="1"/>
        <v>#DIV/0!</v>
      </c>
    </row>
    <row r="45" spans="5:9" x14ac:dyDescent="0.2">
      <c r="E45" s="96" t="s">
        <v>44</v>
      </c>
      <c r="F45" s="13">
        <v>0</v>
      </c>
      <c r="G45" s="14" t="e">
        <f t="shared" si="0"/>
        <v>#DIV/0!</v>
      </c>
      <c r="H45" s="14">
        <v>0</v>
      </c>
      <c r="I45" s="14" t="e">
        <f t="shared" si="1"/>
        <v>#DIV/0!</v>
      </c>
    </row>
    <row r="46" spans="5:9" x14ac:dyDescent="0.2">
      <c r="E46" s="96" t="s">
        <v>45</v>
      </c>
      <c r="F46" s="13">
        <v>0</v>
      </c>
      <c r="G46" s="14" t="e">
        <f t="shared" si="0"/>
        <v>#DIV/0!</v>
      </c>
      <c r="H46" s="14">
        <v>0</v>
      </c>
      <c r="I46" s="14" t="e">
        <f t="shared" si="1"/>
        <v>#DIV/0!</v>
      </c>
    </row>
    <row r="47" spans="5:9" x14ac:dyDescent="0.2">
      <c r="E47" s="96" t="s">
        <v>46</v>
      </c>
      <c r="F47" s="13">
        <v>0</v>
      </c>
      <c r="G47" s="14" t="e">
        <f t="shared" si="0"/>
        <v>#DIV/0!</v>
      </c>
      <c r="H47" s="14">
        <v>0</v>
      </c>
      <c r="I47" s="14" t="e">
        <f t="shared" si="1"/>
        <v>#DIV/0!</v>
      </c>
    </row>
    <row r="48" spans="5:9" x14ac:dyDescent="0.2">
      <c r="E48" s="96" t="s">
        <v>47</v>
      </c>
      <c r="F48" s="13">
        <v>0</v>
      </c>
      <c r="G48" s="14" t="e">
        <f t="shared" si="0"/>
        <v>#DIV/0!</v>
      </c>
      <c r="H48" s="14">
        <v>0</v>
      </c>
      <c r="I48" s="14" t="e">
        <f t="shared" si="1"/>
        <v>#DIV/0!</v>
      </c>
    </row>
    <row r="49" spans="5:9" x14ac:dyDescent="0.2">
      <c r="E49" s="96" t="s">
        <v>48</v>
      </c>
      <c r="F49" s="13">
        <v>0</v>
      </c>
      <c r="G49" s="14" t="e">
        <f t="shared" si="0"/>
        <v>#DIV/0!</v>
      </c>
      <c r="H49" s="14">
        <v>0</v>
      </c>
      <c r="I49" s="14" t="e">
        <f t="shared" si="1"/>
        <v>#DIV/0!</v>
      </c>
    </row>
    <row r="50" spans="5:9" x14ac:dyDescent="0.2">
      <c r="E50" s="96" t="s">
        <v>49</v>
      </c>
      <c r="F50" s="13">
        <v>0</v>
      </c>
      <c r="G50" s="14" t="e">
        <f t="shared" si="0"/>
        <v>#DIV/0!</v>
      </c>
      <c r="H50" s="14">
        <v>0</v>
      </c>
      <c r="I50" s="14" t="e">
        <f t="shared" si="1"/>
        <v>#DIV/0!</v>
      </c>
    </row>
    <row r="51" spans="5:9" x14ac:dyDescent="0.2">
      <c r="E51" s="96" t="s">
        <v>50</v>
      </c>
      <c r="F51" s="13">
        <v>0</v>
      </c>
      <c r="G51" s="14" t="e">
        <f t="shared" si="0"/>
        <v>#DIV/0!</v>
      </c>
      <c r="H51" s="14">
        <v>0</v>
      </c>
      <c r="I51" s="14" t="e">
        <f t="shared" si="1"/>
        <v>#DIV/0!</v>
      </c>
    </row>
    <row r="52" spans="5:9" x14ac:dyDescent="0.2">
      <c r="E52" s="96" t="s">
        <v>51</v>
      </c>
      <c r="F52" s="13">
        <v>0</v>
      </c>
      <c r="G52" s="14" t="e">
        <f t="shared" si="0"/>
        <v>#DIV/0!</v>
      </c>
      <c r="H52" s="14">
        <v>0</v>
      </c>
      <c r="I52" s="14" t="e">
        <f t="shared" si="1"/>
        <v>#DIV/0!</v>
      </c>
    </row>
    <row r="53" spans="5:9" x14ac:dyDescent="0.2">
      <c r="E53" s="96" t="s">
        <v>52</v>
      </c>
      <c r="F53" s="13">
        <v>0</v>
      </c>
      <c r="G53" s="14" t="e">
        <f t="shared" si="0"/>
        <v>#DIV/0!</v>
      </c>
      <c r="H53" s="14">
        <v>0</v>
      </c>
      <c r="I53" s="14" t="e">
        <f t="shared" si="1"/>
        <v>#DIV/0!</v>
      </c>
    </row>
    <row r="54" spans="5:9" x14ac:dyDescent="0.2">
      <c r="E54" s="98"/>
      <c r="F54" s="9"/>
      <c r="G54" s="6"/>
      <c r="H54" s="6"/>
      <c r="I54" s="6"/>
    </row>
    <row r="55" spans="5:9" x14ac:dyDescent="0.2">
      <c r="E55" s="97" t="s">
        <v>64</v>
      </c>
      <c r="F55" s="7">
        <f>SUM(F4:F53)</f>
        <v>0</v>
      </c>
      <c r="G55" s="12" t="s">
        <v>65</v>
      </c>
      <c r="H55" s="8">
        <f>SUM(H4:H53)</f>
        <v>0</v>
      </c>
      <c r="I55" s="10"/>
    </row>
  </sheetData>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5</vt:i4>
      </vt:variant>
    </vt:vector>
  </HeadingPairs>
  <TitlesOfParts>
    <vt:vector size="5" baseType="lpstr">
      <vt:lpstr>Tuto-Import</vt:lpstr>
      <vt:lpstr>Tuto-Export</vt:lpstr>
      <vt:lpstr>Accueil</vt:lpstr>
      <vt:lpstr>Trajets</vt:lpstr>
      <vt:lpstr>Donnees-Recap</vt:lpstr>
    </vt:vector>
  </TitlesOfParts>
  <Manager>MilesTEG1</Manager>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Fichier Excel permettant de gérer les données des applications MyPeugeot/MyCitroën/MYDS</dc:title>
  <dc:subject>--</dc:subject>
  <dc:creator>florence et vincent</dc:creator>
  <cp:lastModifiedBy>Pierrick -</cp:lastModifiedBy>
  <dcterms:created xsi:type="dcterms:W3CDTF">2016-07-02T15:54:45Z</dcterms:created>
  <dcterms:modified xsi:type="dcterms:W3CDTF">2020-10-23T12:13:58Z</dcterms:modified>
  <cp:category>--</cp:category>
  <cp:contentStatus>En cours de développement</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fd53d93-3f4c-4b90-b511-bd6bdbb4fba9_Enabled">
    <vt:lpwstr>True</vt:lpwstr>
  </property>
  <property fmtid="{D5CDD505-2E9C-101B-9397-08002B2CF9AE}" pid="3" name="MSIP_Label_2fd53d93-3f4c-4b90-b511-bd6bdbb4fba9_SiteId">
    <vt:lpwstr>d852d5cd-724c-4128-8812-ffa5db3f8507</vt:lpwstr>
  </property>
  <property fmtid="{D5CDD505-2E9C-101B-9397-08002B2CF9AE}" pid="4" name="MSIP_Label_2fd53d93-3f4c-4b90-b511-bd6bdbb4fba9_Owner">
    <vt:lpwstr>P523783@inetpsa.com</vt:lpwstr>
  </property>
  <property fmtid="{D5CDD505-2E9C-101B-9397-08002B2CF9AE}" pid="5" name="MSIP_Label_2fd53d93-3f4c-4b90-b511-bd6bdbb4fba9_SetDate">
    <vt:lpwstr>2020-04-08T08:22:07.2130207Z</vt:lpwstr>
  </property>
  <property fmtid="{D5CDD505-2E9C-101B-9397-08002B2CF9AE}" pid="6" name="MSIP_Label_2fd53d93-3f4c-4b90-b511-bd6bdbb4fba9_Name">
    <vt:lpwstr>C2 - PSA Sensitive</vt:lpwstr>
  </property>
  <property fmtid="{D5CDD505-2E9C-101B-9397-08002B2CF9AE}" pid="7" name="MSIP_Label_2fd53d93-3f4c-4b90-b511-bd6bdbb4fba9_Application">
    <vt:lpwstr>Microsoft Azure Information Protection</vt:lpwstr>
  </property>
  <property fmtid="{D5CDD505-2E9C-101B-9397-08002B2CF9AE}" pid="8" name="MSIP_Label_2fd53d93-3f4c-4b90-b511-bd6bdbb4fba9_Extended_MSFT_Method">
    <vt:lpwstr>Automatic</vt:lpwstr>
  </property>
  <property fmtid="{D5CDD505-2E9C-101B-9397-08002B2CF9AE}" pid="9" name="Sensitivity">
    <vt:lpwstr>C2 - PSA Sensitive</vt:lpwstr>
  </property>
</Properties>
</file>