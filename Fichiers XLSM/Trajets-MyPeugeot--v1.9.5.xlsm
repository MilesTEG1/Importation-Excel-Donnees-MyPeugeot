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17471" documentId="11_2B47D562DD05DEADBE94BA1166E03B0256CEF507" xr6:coauthVersionLast="45" xr6:coauthVersionMax="45" xr10:uidLastSave="{67A4E717-5700-4844-AA9C-167FCCB97F2C}"/>
  <bookViews>
    <workbookView xWindow="38580" yWindow="585" windowWidth="27855" windowHeight="14520" tabRatio="744" activeTab="1" xr2:uid="{00000000-000D-0000-FFFF-FFFF00000000}"/>
  </bookViews>
  <sheets>
    <sheet name="Tutoriel" sheetId="19" r:id="rId1"/>
    <sheet name="Accueil" sheetId="17" r:id="rId2"/>
    <sheet name="Trajets" sheetId="12" r:id="rId3"/>
    <sheet name="Donnees-Recap" sheetId="13" r:id="rId4"/>
    <sheet name="Trajets-MyPeugeot (Modèle)" sheetId="14" r:id="rId5"/>
    <sheet name="Accueil (Modèle)" sheetId="18" r:id="rId6"/>
  </sheets>
  <functionGroups builtInGroupCount="19"/>
  <definedNames>
    <definedName name="_xlnm._FilterDatabase" localSheetId="2" hidden="1">Trajets!$A$2:$B$3799</definedName>
  </definedNames>
  <calcPr calcId="191029"/>
  <pivotCaches>
    <pivotCache cacheId="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8" l="1"/>
  <c r="L2" i="14"/>
  <c r="H55" i="13"/>
  <c r="I53" i="13" s="1"/>
  <c r="F55" i="13"/>
  <c r="G53" i="13" s="1"/>
  <c r="F1" i="13"/>
  <c r="H1" i="17"/>
  <c r="G6" i="13" l="1"/>
  <c r="G7" i="13"/>
  <c r="G4" i="13"/>
  <c r="G11" i="13"/>
  <c r="G5" i="13"/>
  <c r="G14" i="13"/>
  <c r="G18" i="13"/>
  <c r="G24" i="13"/>
  <c r="G34" i="13"/>
  <c r="I12" i="13"/>
  <c r="I25" i="13"/>
  <c r="I4" i="13"/>
  <c r="I22" i="13"/>
  <c r="I35" i="13"/>
  <c r="G8" i="13"/>
  <c r="G12" i="13"/>
  <c r="G15" i="13"/>
  <c r="G21" i="13"/>
  <c r="G9" i="13"/>
  <c r="G16" i="13"/>
  <c r="G26" i="13"/>
  <c r="G42" i="13"/>
  <c r="G10" i="13"/>
  <c r="G13" i="13"/>
  <c r="G17" i="13"/>
  <c r="G23" i="13"/>
  <c r="G32" i="13"/>
  <c r="G48" i="13"/>
  <c r="I38" i="13"/>
  <c r="I10" i="13"/>
  <c r="I18" i="13"/>
  <c r="I32" i="13"/>
  <c r="I46" i="13"/>
  <c r="I16" i="13"/>
  <c r="I33" i="13"/>
  <c r="I40" i="13"/>
  <c r="I8" i="13"/>
  <c r="I20" i="13"/>
  <c r="I27" i="13"/>
  <c r="I6" i="13"/>
  <c r="I14" i="13"/>
  <c r="I24" i="13"/>
  <c r="I30" i="13"/>
  <c r="I41" i="13"/>
  <c r="I49" i="13"/>
  <c r="G40" i="13"/>
  <c r="G44" i="13"/>
  <c r="G19" i="13"/>
  <c r="G22" i="13"/>
  <c r="G28" i="13"/>
  <c r="G36" i="13"/>
  <c r="G46" i="13"/>
  <c r="G50" i="13"/>
  <c r="G20" i="13"/>
  <c r="G30" i="13"/>
  <c r="G38" i="13"/>
  <c r="G52" i="13"/>
  <c r="I43" i="13"/>
  <c r="I48" i="13"/>
  <c r="I51" i="13"/>
  <c r="I5" i="13"/>
  <c r="I11" i="13"/>
  <c r="I15" i="13"/>
  <c r="I19" i="13"/>
  <c r="I23" i="13"/>
  <c r="I31" i="13"/>
  <c r="I39" i="13"/>
  <c r="I44" i="13"/>
  <c r="I47" i="13"/>
  <c r="I52" i="13"/>
  <c r="I7" i="13"/>
  <c r="I9" i="13"/>
  <c r="I13" i="13"/>
  <c r="I17" i="13"/>
  <c r="I21" i="13"/>
  <c r="I28" i="13"/>
  <c r="I36" i="13"/>
  <c r="I26" i="13"/>
  <c r="I29" i="13"/>
  <c r="I34" i="13"/>
  <c r="I37" i="13"/>
  <c r="I42" i="13"/>
  <c r="I45" i="13"/>
  <c r="I50" i="13"/>
  <c r="G27" i="13"/>
  <c r="G31" i="13"/>
  <c r="G35" i="13"/>
  <c r="G39" i="13"/>
  <c r="G43" i="13"/>
  <c r="G47" i="13"/>
  <c r="G51" i="13"/>
  <c r="G25" i="13"/>
  <c r="G29" i="13"/>
  <c r="G33" i="13"/>
  <c r="G37" i="13"/>
  <c r="G41" i="13"/>
  <c r="G45" i="13"/>
  <c r="G49" i="13"/>
</calcChain>
</file>

<file path=xl/sharedStrings.xml><?xml version="1.0" encoding="utf-8"?>
<sst xmlns="http://schemas.openxmlformats.org/spreadsheetml/2006/main" count="150" uniqueCount="117">
  <si>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</si>
  <si>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</si>
  <si>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</si>
  <si>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</si>
  <si>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</si>
  <si>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</si>
  <si>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</si>
  <si>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</si>
  <si>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</si>
  <si>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</si>
  <si>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</si>
  <si>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</si>
  <si>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</si>
  <si>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</si>
  <si>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</si>
  <si>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</si>
  <si>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</si>
  <si>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</si>
  <si>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</si>
  <si>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</si>
  <si>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</si>
  <si>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</si>
  <si>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</si>
  <si>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</si>
  <si>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</si>
  <si>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</si>
  <si>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</si>
  <si>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</si>
  <si>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</si>
  <si>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</si>
  <si>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</si>
  <si>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</si>
  <si>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</si>
  <si>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</si>
  <si>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</si>
  <si>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</si>
  <si>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</si>
  <si>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</si>
  <si>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</si>
  <si>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</si>
  <si>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</si>
  <si>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</si>
  <si>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</si>
  <si>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</si>
  <si>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</si>
  <si>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</si>
  <si>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</si>
  <si>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</si>
  <si>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</si>
  <si>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</si>
  <si>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</si>
  <si>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</si>
  <si>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</si>
  <si>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</si>
  <si>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</si>
  <si>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</si>
  <si>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</si>
  <si>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</si>
  <si>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</si>
  <si>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</si>
  <si>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</si>
  <si>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</si>
  <si>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</si>
  <si>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</si>
  <si>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</si>
  <si>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</si>
  <si>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</si>
  <si>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</si>
  <si>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</si>
  <si>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</si>
  <si>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</si>
  <si>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</si>
  <si>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</si>
  <si>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</si>
  <si>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</si>
  <si>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</si>
  <si>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</si>
  <si>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</si>
  <si>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</si>
  <si>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</si>
  <si>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</si>
  <si>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</si>
  <si>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</si>
  <si>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</si>
  <si>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</si>
  <si>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</si>
  <si>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</si>
  <si>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</si>
  <si>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</si>
  <si>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</si>
  <si>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</si>
  <si>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</si>
  <si>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</si>
  <si>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</si>
  <si>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</si>
  <si>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</si>
  <si>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</si>
  <si>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Kilométrage total</t>
  </si>
  <si>
    <t>Conso Totale (L)</t>
  </si>
  <si>
    <t>Nombre de trajets</t>
  </si>
  <si>
    <t>Conso Moyenne L/100 km</t>
  </si>
  <si>
    <t>VIN</t>
  </si>
  <si>
    <t>Info véhicule :</t>
  </si>
  <si>
    <t>Kilométrage actuel de la voiture</t>
  </si>
  <si>
    <t/>
  </si>
  <si>
    <t>Ne rien modifier ici</t>
  </si>
  <si>
    <t>Description véhicule</t>
  </si>
  <si>
    <t>v1.9.1</t>
  </si>
  <si>
    <t>Vous pouvez modifier ici la description des véhicules, mais ne changer par les VINs et leur nombre !</t>
  </si>
  <si>
    <t>(vide)</t>
  </si>
  <si>
    <t>Coordonnées</t>
  </si>
  <si>
    <t>Longitude :</t>
  </si>
  <si>
    <t>Latitude :</t>
  </si>
  <si>
    <t xml:space="preserve">Dernière adresse connue </t>
  </si>
  <si>
    <t>Ceci ne fonctionne que si UN seul VIN est sélectionné dans le tableau en F3</t>
  </si>
  <si>
    <t xml:space="preserve"> </t>
  </si>
  <si>
    <t>v1.9.5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</si>
</sst>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29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i/>
      <sz val="11"/>
      <color rgb="FF003300"/>
      <name val="Calibri"/>
      <family val="2"/>
    </font>
    <font>
      <b/>
      <i/>
      <sz val="12"/>
      <color rgb="FF800000"/>
      <name val="Calibri"/>
      <family val="2"/>
    </font>
    <font>
      <b/>
      <sz val="12"/>
      <color rgb="FF000080"/>
      <name val="Calibri"/>
      <family val="2"/>
    </font>
    <font>
      <b/>
      <i/>
      <sz val="16"/>
      <color theme="9" tint="0.79998168889431442"/>
      <name val="Calibri"/>
      <family val="2"/>
    </font>
    <font>
      <b/>
      <sz val="10"/>
      <color rgb="FF000080"/>
      <name val="Calibri"/>
      <family val="2"/>
    </font>
    <font>
      <i/>
      <sz val="8"/>
      <name val="Arial"/>
      <family val="2"/>
    </font>
    <font>
      <b/>
      <i/>
      <sz val="10"/>
      <color theme="9" tint="0.79998168889431442"/>
      <name val="Calibri"/>
      <family val="2"/>
      <scheme val="minor"/>
    </font>
    <font>
      <b/>
      <i/>
      <sz val="16"/>
      <color theme="9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color rgb="FF000080"/>
      <name val="Calibri"/>
      <family val="2"/>
    </font>
    <font>
      <b/>
      <i/>
      <u val="double"/>
      <sz val="12"/>
      <color rgb="FF800080"/>
      <name val="Calibri"/>
      <family val="2"/>
    </font>
    <font>
      <b/>
      <sz val="12"/>
      <color rgb="FF008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mediumDashDot">
        <color theme="5"/>
      </left>
      <right style="mediumDashDot">
        <color theme="5"/>
      </right>
      <top style="mediumDashDot">
        <color theme="5"/>
      </top>
      <bottom/>
      <diagonal/>
    </border>
    <border>
      <left style="mediumDashDot">
        <color theme="5"/>
      </left>
      <right style="mediumDashDot">
        <color theme="5"/>
      </right>
      <top/>
      <bottom style="mediumDash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5" tint="-0.499984740745262"/>
      </left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 style="double">
        <color theme="5" tint="-0.499984740745262"/>
      </right>
      <top/>
      <bottom style="double">
        <color theme="5" tint="-0.499984740745262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/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</borders>
  <cellStyleXfs count="2">
    <xf numFmtId="0" fontId="0" fillId="0" borderId="0"/>
    <xf numFmtId="0" fontId="10" fillId="0" borderId="0"/>
  </cellStyleXfs>
  <cellXfs count="152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13" fillId="0" borderId="0" xfId="0" applyNumberFormat="1" applyFont="1" applyAlignment="1">
      <alignment horizontal="right" vertical="center"/>
    </xf>
    <xf numFmtId="0" fontId="10" fillId="9" borderId="0" xfId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8" borderId="10" xfId="1" applyNumberFormat="1" applyFont="1" applyFill="1" applyBorder="1" applyAlignment="1">
      <alignment horizontal="center" vertical="center" wrapText="1"/>
    </xf>
    <xf numFmtId="0" fontId="17" fillId="8" borderId="11" xfId="1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19" fillId="9" borderId="0" xfId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9" borderId="1" xfId="1" applyFill="1" applyBorder="1" applyAlignment="1">
      <alignment horizontal="center" vertical="center"/>
    </xf>
    <xf numFmtId="0" fontId="10" fillId="9" borderId="8" xfId="1" applyFill="1" applyBorder="1" applyAlignment="1">
      <alignment horizontal="center" vertical="center"/>
    </xf>
    <xf numFmtId="0" fontId="10" fillId="9" borderId="14" xfId="1" applyFill="1" applyBorder="1" applyAlignment="1">
      <alignment horizontal="center" vertical="center"/>
    </xf>
    <xf numFmtId="0" fontId="10" fillId="9" borderId="15" xfId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20" fillId="8" borderId="18" xfId="1" applyNumberFormat="1" applyFont="1" applyFill="1" applyBorder="1" applyAlignment="1">
      <alignment horizontal="center" wrapText="1"/>
    </xf>
    <xf numFmtId="0" fontId="21" fillId="8" borderId="19" xfId="1" applyNumberFormat="1" applyFont="1" applyFill="1" applyBorder="1" applyAlignment="1">
      <alignment horizontal="center" vertical="top" wrapText="1"/>
    </xf>
    <xf numFmtId="0" fontId="23" fillId="9" borderId="0" xfId="1" applyFont="1" applyFill="1"/>
    <xf numFmtId="0" fontId="23" fillId="0" borderId="0" xfId="0" applyFont="1"/>
    <xf numFmtId="0" fontId="2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24" fillId="9" borderId="0" xfId="1" applyFont="1" applyFill="1" applyAlignment="1">
      <alignment vertical="center"/>
    </xf>
    <xf numFmtId="0" fontId="22" fillId="10" borderId="16" xfId="0" applyFont="1" applyFill="1" applyBorder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9" borderId="1" xfId="1" applyFont="1" applyFill="1" applyBorder="1" applyAlignment="1">
      <alignment horizontal="center" vertical="center"/>
    </xf>
    <xf numFmtId="0" fontId="23" fillId="9" borderId="8" xfId="1" applyFont="1" applyFill="1" applyBorder="1" applyAlignment="1">
      <alignment horizontal="center" vertical="center"/>
    </xf>
    <xf numFmtId="0" fontId="23" fillId="9" borderId="14" xfId="1" applyFont="1" applyFill="1" applyBorder="1" applyAlignment="1">
      <alignment horizontal="center" vertical="center"/>
    </xf>
    <xf numFmtId="0" fontId="23" fillId="9" borderId="15" xfId="1" applyFont="1" applyFill="1" applyBorder="1" applyAlignment="1">
      <alignment horizontal="center" vertical="center"/>
    </xf>
    <xf numFmtId="0" fontId="23" fillId="9" borderId="0" xfId="1" applyFont="1" applyFill="1" applyAlignment="1">
      <alignment horizontal="center" vertical="center"/>
    </xf>
    <xf numFmtId="0" fontId="25" fillId="7" borderId="0" xfId="1" applyFont="1" applyFill="1" applyBorder="1" applyAlignment="1">
      <alignment horizontal="right" vertical="center"/>
    </xf>
    <xf numFmtId="0" fontId="25" fillId="7" borderId="0" xfId="1" applyFont="1" applyFill="1" applyBorder="1" applyAlignment="1">
      <alignment horizontal="right"/>
    </xf>
    <xf numFmtId="0" fontId="7" fillId="7" borderId="0" xfId="1" applyFont="1" applyFill="1" applyBorder="1"/>
    <xf numFmtId="0" fontId="0" fillId="9" borderId="0" xfId="0" applyFill="1"/>
    <xf numFmtId="0" fontId="23" fillId="0" borderId="0" xfId="0" pivotButton="1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/>
    </xf>
    <xf numFmtId="2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22" fillId="6" borderId="20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24" fillId="9" borderId="0" xfId="1" applyFont="1" applyFill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9" fillId="9" borderId="0" xfId="1" applyFont="1" applyFill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8"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  <dxf>
      <font>
        <sz val="11"/>
      </font>
    </dxf>
    <dxf>
      <font>
        <sz val="11"/>
      </font>
    </dxf>
    <dxf>
      <font>
        <sz val="11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1</xdr:col>
          <xdr:colOff>466725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666750</xdr:colOff>
      <xdr:row>1</xdr:row>
      <xdr:rowOff>21043</xdr:rowOff>
    </xdr:from>
    <xdr:to>
      <xdr:col>17</xdr:col>
      <xdr:colOff>200206</xdr:colOff>
      <xdr:row>29</xdr:row>
      <xdr:rowOff>123825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" y="182968"/>
          <a:ext cx="11725456" cy="463668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264488</xdr:colOff>
      <xdr:row>24</xdr:row>
      <xdr:rowOff>133350</xdr:rowOff>
    </xdr:from>
    <xdr:to>
      <xdr:col>3</xdr:col>
      <xdr:colOff>378361</xdr:colOff>
      <xdr:row>41</xdr:row>
      <xdr:rowOff>156597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4488" y="4019550"/>
          <a:ext cx="2399873" cy="277597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76201</xdr:colOff>
      <xdr:row>47</xdr:row>
      <xdr:rowOff>0</xdr:rowOff>
    </xdr:from>
    <xdr:to>
      <xdr:col>16</xdr:col>
      <xdr:colOff>503136</xdr:colOff>
      <xdr:row>81</xdr:row>
      <xdr:rowOff>64404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0201" y="7610475"/>
          <a:ext cx="11094935" cy="5569854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0</xdr:colOff>
      <xdr:row>64</xdr:row>
      <xdr:rowOff>133348</xdr:rowOff>
    </xdr:from>
    <xdr:to>
      <xdr:col>6</xdr:col>
      <xdr:colOff>633248</xdr:colOff>
      <xdr:row>90</xdr:row>
      <xdr:rowOff>158895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0" y="10496548"/>
          <a:ext cx="2919248" cy="4235597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133350</xdr:colOff>
      <xdr:row>29</xdr:row>
      <xdr:rowOff>28575</xdr:rowOff>
    </xdr:from>
    <xdr:to>
      <xdr:col>11</xdr:col>
      <xdr:colOff>663758</xdr:colOff>
      <xdr:row>37</xdr:row>
      <xdr:rowOff>113540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81350" y="4724400"/>
          <a:ext cx="5864408" cy="138036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66675</xdr:colOff>
      <xdr:row>29</xdr:row>
      <xdr:rowOff>19050</xdr:rowOff>
    </xdr:from>
    <xdr:to>
      <xdr:col>17</xdr:col>
      <xdr:colOff>183428</xdr:colOff>
      <xdr:row>45</xdr:row>
      <xdr:rowOff>60375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210675" y="4714875"/>
          <a:ext cx="3926753" cy="263212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</xdr:row>
          <xdr:rowOff>38100</xdr:rowOff>
        </xdr:from>
        <xdr:to>
          <xdr:col>1</xdr:col>
          <xdr:colOff>466725</xdr:colOff>
          <xdr:row>7</xdr:row>
          <xdr:rowOff>133350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15</xdr:row>
          <xdr:rowOff>19050</xdr:rowOff>
        </xdr:from>
        <xdr:to>
          <xdr:col>2</xdr:col>
          <xdr:colOff>0</xdr:colOff>
          <xdr:row>18</xdr:row>
          <xdr:rowOff>28575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dbl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Aller au Tutoriel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1</xdr:col>
          <xdr:colOff>76200</xdr:colOff>
          <xdr:row>0</xdr:row>
          <xdr:rowOff>390525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5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5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ick -" refreshedDate="43940.723382175929" missingItemsLimit="0" createdVersion="6" refreshedVersion="6" minRefreshableVersion="3" recordCount="6" xr:uid="{00000000-000A-0000-FFFF-FFFF10000000}">
  <cacheSource type="worksheet">
    <worksheetSource ref="A2:Q1048576" sheet="Trajets"/>
  </cacheSource>
  <cacheFields count="17">
    <cacheField name="VIN(s)" numFmtId="0">
      <sharedItems containsNonDate="0" containsString="0" containsBlank="1" count="1">
        <m/>
      </sharedItems>
    </cacheField>
    <cacheField name="Trip id#" numFmtId="0">
      <sharedItems containsNonDate="0" containsString="0" containsBlank="1"/>
    </cacheField>
    <cacheField name="Début" numFmtId="167">
      <sharedItems containsNonDate="0" containsString="0" containsBlank="1"/>
    </cacheField>
    <cacheField name="Fin" numFmtId="167">
      <sharedItems containsNonDate="0" containsString="0" containsBlank="1"/>
    </cacheField>
    <cacheField name="Durée (h:min)" numFmtId="20">
      <sharedItems containsNonDate="0" containsString="0" containsBlank="1"/>
    </cacheField>
    <cacheField name="Distance trajet" numFmtId="164">
      <sharedItems containsNonDate="0" containsString="0" containsBlank="1"/>
    </cacheField>
    <cacheField name="Distance totale" numFmtId="0">
      <sharedItems containsNonDate="0" containsString="0" containsBlank="1"/>
    </cacheField>
    <cacheField name="Conso L/trajet" numFmtId="2">
      <sharedItems containsNonDate="0" containsString="0" containsBlank="1"/>
    </cacheField>
    <cacheField name="Conso L/100 km" numFmtId="164">
      <sharedItems containsNonDate="0" containsString="0" containsBlank="1"/>
    </cacheField>
    <cacheField name="Latitude Départ" numFmtId="0">
      <sharedItems containsNonDate="0" containsString="0" containsBlank="1"/>
    </cacheField>
    <cacheField name="Longitude Départ" numFmtId="0">
      <sharedItems containsNonDate="0" containsString="0" containsBlank="1"/>
    </cacheField>
    <cacheField name="Adresse de Départ" numFmtId="0">
      <sharedItems containsNonDate="0" containsString="0" containsBlank="1"/>
    </cacheField>
    <cacheField name="Latitude Arrivée" numFmtId="0">
      <sharedItems containsNonDate="0" containsString="0" containsBlank="1"/>
    </cacheField>
    <cacheField name="Longitude Arrivée" numFmtId="0">
      <sharedItems containsNonDate="0" containsString="0" containsBlank="1"/>
    </cacheField>
    <cacheField name="Adresse d'arrivée_x000d_" numFmtId="0">
      <sharedItems containsNonDate="0" containsString="0" containsBlank="1"/>
    </cacheField>
    <cacheField name="Niveau de carburant (%)" numFmtId="168">
      <sharedItems containsNonDate="0" containsString="0" containsBlank="1"/>
    </cacheField>
    <cacheField name="Autonomie restante (k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CD_VIN" cacheId="3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22">
    <format dxfId="3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3">
      <pivotArea field="0" type="button" dataOnly="0" labelOnly="1" outline="0" axis="axisPage" fieldPosition="0"/>
    </format>
    <format dxfId="22">
      <pivotArea field="0" type="button" dataOnly="0" labelOnly="1" outline="0" axis="axisPage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VIN" cacheId="3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6">
    <format dxfId="15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">
      <pivotArea field="0" type="button" dataOnly="0" labelOnly="1" outline="0" axis="axisPage" fieldPosition="0"/>
    </format>
    <format dxfId="0">
      <pivotArea field="0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2297-97E1-45C1-9788-41D5ECF658D7}">
  <sheetPr codeName="Feuil1"/>
  <dimension ref="A1"/>
  <sheetViews>
    <sheetView workbookViewId="0">
      <selection activeCell="B11" sqref="B11"/>
    </sheetView>
  </sheetViews>
  <sheetFormatPr baseColWidth="10" defaultRowHeight="12.75" x14ac:dyDescent="0.2"/>
  <cols>
    <col min="1" max="16384" width="11.42578125" style="122"/>
  </cols>
  <sheetData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outon3_Cliquer">
                <anchor moveWithCells="1" sizeWithCells="1">
                  <from>
                    <xdr:col>0</xdr:col>
                    <xdr:colOff>66675</xdr:colOff>
                    <xdr:row>4</xdr:row>
                    <xdr:rowOff>38100</xdr:rowOff>
                  </from>
                  <to>
                    <xdr:col>1</xdr:col>
                    <xdr:colOff>466725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B1:N38"/>
  <sheetViews>
    <sheetView showGridLines="0" tabSelected="1" workbookViewId="0"/>
  </sheetViews>
  <sheetFormatPr baseColWidth="10" defaultRowHeight="15" x14ac:dyDescent="0.25"/>
  <cols>
    <col min="1" max="1" width="3.42578125" style="103" customWidth="1"/>
    <col min="2" max="2" width="22" style="103" customWidth="1"/>
    <col min="3" max="4" width="3.5703125" style="103" customWidth="1"/>
    <col min="5" max="5" width="12.28515625" style="103" customWidth="1"/>
    <col min="6" max="6" width="22.42578125" style="103" customWidth="1"/>
    <col min="7" max="7" width="16.42578125" style="103" customWidth="1"/>
    <col min="8" max="8" width="17.28515625" style="103" customWidth="1"/>
    <col min="9" max="9" width="21.140625" style="103" customWidth="1"/>
    <col min="10" max="10" width="9" style="103" customWidth="1"/>
    <col min="11" max="11" width="1.85546875" style="103" customWidth="1"/>
    <col min="12" max="12" width="1.5703125" style="103" customWidth="1"/>
    <col min="13" max="13" width="21.85546875" style="118" customWidth="1"/>
    <col min="14" max="14" width="25.5703125" style="118" customWidth="1"/>
    <col min="15" max="16384" width="11.42578125" style="103"/>
  </cols>
  <sheetData>
    <row r="1" spans="2:14" ht="15.75" thickBot="1" x14ac:dyDescent="0.3">
      <c r="E1" s="123" t="s">
        <v>85</v>
      </c>
      <c r="F1" s="104" t="s">
        <v>109</v>
      </c>
      <c r="G1" s="105" t="s">
        <v>102</v>
      </c>
      <c r="H1" s="106" t="str">
        <f>IF($F1="(Plusieurs éléments)","",IF($F1="(vide)","",IF($F1="(Tous)","",VLOOKUP($F1,$M$3:$N$23,2,FALSE))))</f>
        <v/>
      </c>
      <c r="M1" s="137" t="s">
        <v>108</v>
      </c>
      <c r="N1" s="137"/>
    </row>
    <row r="2" spans="2:14" ht="15.75" thickTop="1" x14ac:dyDescent="0.25">
      <c r="B2" s="101" t="s">
        <v>96</v>
      </c>
      <c r="E2" s="107" t="s">
        <v>105</v>
      </c>
      <c r="F2" s="107"/>
      <c r="G2" s="104"/>
      <c r="M2" s="137"/>
      <c r="N2" s="137"/>
    </row>
    <row r="3" spans="2:14" ht="30.75" thickBot="1" x14ac:dyDescent="0.3">
      <c r="B3" s="102" t="s">
        <v>116</v>
      </c>
      <c r="E3" s="124" t="s">
        <v>99</v>
      </c>
      <c r="F3" s="125" t="s">
        <v>97</v>
      </c>
      <c r="G3" s="125" t="s">
        <v>98</v>
      </c>
      <c r="H3" s="124" t="s">
        <v>100</v>
      </c>
      <c r="I3" s="124" t="s">
        <v>103</v>
      </c>
      <c r="J3"/>
      <c r="M3" s="108" t="s">
        <v>101</v>
      </c>
      <c r="N3" s="109" t="s">
        <v>106</v>
      </c>
    </row>
    <row r="4" spans="2:14" ht="15.75" thickTop="1" x14ac:dyDescent="0.25">
      <c r="E4" s="126"/>
      <c r="F4" s="127"/>
      <c r="G4" s="128"/>
      <c r="H4" s="129"/>
      <c r="I4" s="130"/>
      <c r="J4"/>
      <c r="M4" s="110"/>
      <c r="N4" s="111"/>
    </row>
    <row r="5" spans="2:14" x14ac:dyDescent="0.25">
      <c r="B5" s="103" t="s">
        <v>104</v>
      </c>
      <c r="M5" s="112"/>
      <c r="N5" s="113"/>
    </row>
    <row r="6" spans="2:14" x14ac:dyDescent="0.25">
      <c r="E6" s="107" t="s">
        <v>114</v>
      </c>
      <c r="M6" s="112"/>
      <c r="N6" s="113"/>
    </row>
    <row r="7" spans="2:14" x14ac:dyDescent="0.25">
      <c r="E7" s="135" t="s">
        <v>113</v>
      </c>
      <c r="F7" s="136"/>
      <c r="G7" s="131" t="s">
        <v>110</v>
      </c>
      <c r="H7" s="132"/>
      <c r="M7" s="114"/>
      <c r="N7" s="115"/>
    </row>
    <row r="8" spans="2:14" x14ac:dyDescent="0.25">
      <c r="E8" s="133"/>
      <c r="F8" s="134"/>
      <c r="G8" s="119" t="s">
        <v>111</v>
      </c>
      <c r="H8" s="121"/>
      <c r="M8" s="114"/>
      <c r="N8" s="115"/>
    </row>
    <row r="9" spans="2:14" x14ac:dyDescent="0.25">
      <c r="E9" s="133"/>
      <c r="F9" s="134"/>
      <c r="G9" s="120" t="s">
        <v>112</v>
      </c>
      <c r="H9" s="121"/>
      <c r="M9" s="114"/>
      <c r="N9" s="115"/>
    </row>
    <row r="10" spans="2:14" x14ac:dyDescent="0.25">
      <c r="M10" s="114"/>
      <c r="N10" s="115"/>
    </row>
    <row r="11" spans="2:14" x14ac:dyDescent="0.25">
      <c r="M11" s="114"/>
      <c r="N11" s="115"/>
    </row>
    <row r="12" spans="2:14" x14ac:dyDescent="0.25">
      <c r="M12" s="114"/>
      <c r="N12" s="115"/>
    </row>
    <row r="13" spans="2:14" x14ac:dyDescent="0.25">
      <c r="M13" s="114"/>
      <c r="N13" s="115"/>
    </row>
    <row r="14" spans="2:14" x14ac:dyDescent="0.25">
      <c r="M14" s="114"/>
      <c r="N14" s="115"/>
    </row>
    <row r="15" spans="2:14" x14ac:dyDescent="0.25">
      <c r="M15" s="114"/>
      <c r="N15" s="115"/>
    </row>
    <row r="16" spans="2:14" x14ac:dyDescent="0.25">
      <c r="M16" s="114"/>
      <c r="N16" s="115"/>
    </row>
    <row r="17" spans="2:14" x14ac:dyDescent="0.25">
      <c r="M17" s="114"/>
      <c r="N17" s="115"/>
    </row>
    <row r="18" spans="2:14" x14ac:dyDescent="0.25">
      <c r="M18" s="114"/>
      <c r="N18" s="115"/>
    </row>
    <row r="19" spans="2:14" x14ac:dyDescent="0.25">
      <c r="M19" s="114"/>
      <c r="N19" s="115"/>
    </row>
    <row r="20" spans="2:14" x14ac:dyDescent="0.25">
      <c r="M20" s="114"/>
      <c r="N20" s="115"/>
    </row>
    <row r="21" spans="2:14" x14ac:dyDescent="0.25">
      <c r="B21" s="103" t="s">
        <v>104</v>
      </c>
      <c r="M21" s="114"/>
      <c r="N21" s="115"/>
    </row>
    <row r="22" spans="2:14" x14ac:dyDescent="0.25">
      <c r="M22" s="114"/>
      <c r="N22" s="115"/>
    </row>
    <row r="23" spans="2:14" x14ac:dyDescent="0.25">
      <c r="M23" s="116"/>
      <c r="N23" s="117"/>
    </row>
    <row r="24" spans="2:14" x14ac:dyDescent="0.25">
      <c r="F24" s="103" t="s">
        <v>115</v>
      </c>
    </row>
    <row r="37" spans="6:7" x14ac:dyDescent="0.25">
      <c r="G37" s="103" t="s">
        <v>104</v>
      </c>
    </row>
    <row r="38" spans="6:7" x14ac:dyDescent="0.25">
      <c r="F38" s="103" t="s">
        <v>104</v>
      </c>
    </row>
  </sheetData>
  <dataConsolidate/>
  <mergeCells count="4">
    <mergeCell ref="G7:H7"/>
    <mergeCell ref="E8:F9"/>
    <mergeCell ref="E7:F7"/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8" name="Button 4">
              <controlPr defaultSize="0" print="0" autoFill="0" autoPict="0" macro="[0]!Bouton_Tuto_Cliquer">
                <anchor moveWithCells="1" sizeWithCells="1">
                  <from>
                    <xdr:col>0</xdr:col>
                    <xdr:colOff>219075</xdr:colOff>
                    <xdr:row>15</xdr:row>
                    <xdr:rowOff>19050</xdr:rowOff>
                  </from>
                  <to>
                    <xdr:col>2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R7"/>
  <sheetViews>
    <sheetView topLeftCell="A2" workbookViewId="0">
      <selection activeCell="A7" sqref="A7"/>
    </sheetView>
  </sheetViews>
  <sheetFormatPr baseColWidth="10" defaultRowHeight="12.75" x14ac:dyDescent="0.2"/>
  <cols>
    <col min="1" max="1" width="17.28515625" style="54" customWidth="1"/>
    <col min="2" max="2" width="11.7109375" style="3" bestFit="1" customWidth="1"/>
    <col min="3" max="4" width="15.7109375" style="36" customWidth="1"/>
    <col min="5" max="5" width="10.7109375" style="41" customWidth="1"/>
    <col min="6" max="6" width="10.85546875" style="32" customWidth="1"/>
    <col min="7" max="7" width="9.85546875" style="37" customWidth="1"/>
    <col min="8" max="8" width="8.5703125" style="34" customWidth="1"/>
    <col min="9" max="9" width="9.85546875" style="35" customWidth="1"/>
    <col min="10" max="11" width="12.85546875" style="3" customWidth="1"/>
    <col min="12" max="12" width="44.7109375" style="63" customWidth="1"/>
    <col min="13" max="13" width="12.85546875" style="28" customWidth="1"/>
    <col min="14" max="14" width="12.85546875" style="29" customWidth="1"/>
    <col min="15" max="15" width="44.7109375" style="64" customWidth="1"/>
    <col min="16" max="16" width="14.140625" style="43" customWidth="1"/>
    <col min="17" max="17" width="13.7109375" style="42" customWidth="1"/>
    <col min="18" max="16384" width="11.42578125" style="3"/>
  </cols>
  <sheetData>
    <row r="1" spans="1:18" ht="32.25" customHeight="1" x14ac:dyDescent="0.2">
      <c r="A1" s="66"/>
      <c r="B1" s="66"/>
      <c r="C1" s="66"/>
      <c r="D1" s="66"/>
      <c r="E1" s="76" t="s">
        <v>84</v>
      </c>
      <c r="F1" s="55"/>
      <c r="G1" s="77"/>
      <c r="H1" s="65"/>
      <c r="I1" s="55"/>
      <c r="J1" s="55"/>
      <c r="K1" s="56"/>
      <c r="L1" s="58"/>
      <c r="M1" s="76"/>
      <c r="N1" s="75"/>
      <c r="O1" s="69"/>
      <c r="P1" s="70"/>
      <c r="Q1" s="71"/>
      <c r="R1" s="1"/>
    </row>
    <row r="2" spans="1:18" s="31" customFormat="1" ht="31.5" customHeight="1" x14ac:dyDescent="0.2">
      <c r="A2" s="72" t="s">
        <v>85</v>
      </c>
      <c r="B2" s="72" t="s">
        <v>54</v>
      </c>
      <c r="C2" s="73" t="s">
        <v>67</v>
      </c>
      <c r="D2" s="73" t="s">
        <v>68</v>
      </c>
      <c r="E2" s="67" t="s">
        <v>82</v>
      </c>
      <c r="F2" s="68" t="s">
        <v>87</v>
      </c>
      <c r="G2" s="68" t="s">
        <v>86</v>
      </c>
      <c r="H2" s="68" t="s">
        <v>89</v>
      </c>
      <c r="I2" s="68" t="s">
        <v>88</v>
      </c>
      <c r="J2" s="74" t="s">
        <v>91</v>
      </c>
      <c r="K2" s="74" t="s">
        <v>92</v>
      </c>
      <c r="L2" s="74" t="s">
        <v>90</v>
      </c>
      <c r="M2" s="74" t="s">
        <v>93</v>
      </c>
      <c r="N2" s="74" t="s">
        <v>94</v>
      </c>
      <c r="O2" s="74" t="s">
        <v>95</v>
      </c>
      <c r="P2" s="68" t="s">
        <v>74</v>
      </c>
      <c r="Q2" s="68" t="s">
        <v>83</v>
      </c>
    </row>
    <row r="3" spans="1:18" x14ac:dyDescent="0.2">
      <c r="G3" s="32"/>
    </row>
    <row r="4" spans="1:18" x14ac:dyDescent="0.2">
      <c r="G4" s="32"/>
    </row>
    <row r="5" spans="1:18" x14ac:dyDescent="0.2">
      <c r="G5" s="32"/>
    </row>
    <row r="6" spans="1:18" x14ac:dyDescent="0.2">
      <c r="G6" s="32"/>
    </row>
    <row r="7" spans="1:18" x14ac:dyDescent="0.2">
      <c r="G7" s="32"/>
    </row>
  </sheetData>
  <autoFilter ref="A2:B3799" xr:uid="{00000000-0009-0000-0000-000001000000}"/>
  <sortState xmlns:xlrd2="http://schemas.microsoft.com/office/spreadsheetml/2017/richdata2" ref="A3:Q65536">
    <sortCondition ref="A3:A65536"/>
    <sortCondition ref="B3:B65536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76200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55"/>
  <sheetViews>
    <sheetView topLeftCell="A7" workbookViewId="0">
      <selection activeCell="L27" sqref="L27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140" t="s">
        <v>56</v>
      </c>
      <c r="B1" s="142"/>
      <c r="C1" s="142"/>
      <c r="D1" s="142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144"/>
      <c r="P1" s="144"/>
      <c r="Q1" s="145"/>
      <c r="R1" s="1"/>
    </row>
    <row r="2" spans="1:18" ht="15.75" x14ac:dyDescent="0.2">
      <c r="A2" s="141"/>
      <c r="B2" s="143"/>
      <c r="C2" s="143"/>
      <c r="D2" s="143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146"/>
      <c r="P2" s="146"/>
      <c r="Q2" s="147"/>
      <c r="R2" s="31"/>
    </row>
    <row r="3" spans="1:18" ht="15" x14ac:dyDescent="0.2">
      <c r="A3" s="148" t="s">
        <v>85</v>
      </c>
      <c r="B3" s="148" t="s">
        <v>54</v>
      </c>
      <c r="C3" s="149" t="s">
        <v>67</v>
      </c>
      <c r="D3" s="150" t="s">
        <v>68</v>
      </c>
      <c r="E3" s="139" t="s">
        <v>82</v>
      </c>
      <c r="F3" s="150" t="s">
        <v>66</v>
      </c>
      <c r="G3" s="150"/>
      <c r="H3" s="150" t="s">
        <v>70</v>
      </c>
      <c r="I3" s="150"/>
      <c r="J3" s="138" t="s">
        <v>64</v>
      </c>
      <c r="K3" s="138"/>
      <c r="L3" s="138"/>
      <c r="M3" s="138" t="s">
        <v>65</v>
      </c>
      <c r="N3" s="138"/>
      <c r="O3" s="138"/>
      <c r="P3" s="139" t="s">
        <v>74</v>
      </c>
      <c r="Q3" s="139" t="s">
        <v>83</v>
      </c>
    </row>
    <row r="4" spans="1:18" ht="15" x14ac:dyDescent="0.2">
      <c r="A4" s="148"/>
      <c r="B4" s="148"/>
      <c r="C4" s="149"/>
      <c r="D4" s="150"/>
      <c r="E4" s="139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139"/>
      <c r="Q4" s="139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B1:N40"/>
  <sheetViews>
    <sheetView showGridLines="0" workbookViewId="0">
      <selection activeCell="M3" sqref="M3:N3"/>
    </sheetView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éléments)","",IF($F1="(vide)","",IF($F1="(Tous)","",VLOOKUP($F1,#REF!,2,FALSE))))</f>
        <v/>
      </c>
      <c r="M1" s="151" t="s">
        <v>108</v>
      </c>
      <c r="N1" s="151"/>
    </row>
    <row r="2" spans="2:14" x14ac:dyDescent="0.2">
      <c r="B2" s="88" t="s">
        <v>96</v>
      </c>
      <c r="E2" s="92" t="s">
        <v>105</v>
      </c>
      <c r="F2" s="92"/>
      <c r="G2"/>
      <c r="M2" s="151"/>
      <c r="N2" s="151"/>
    </row>
    <row r="3" spans="2:14" ht="26.25" thickBot="1" x14ac:dyDescent="0.25">
      <c r="B3" s="89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99" t="s">
        <v>101</v>
      </c>
      <c r="N3" s="100" t="s">
        <v>106</v>
      </c>
    </row>
    <row r="4" spans="2:14" x14ac:dyDescent="0.2">
      <c r="E4" s="85"/>
      <c r="F4" s="84"/>
      <c r="G4" s="83"/>
      <c r="H4" s="86"/>
      <c r="I4" s="87"/>
      <c r="M4" s="93"/>
      <c r="N4" s="94"/>
    </row>
    <row r="5" spans="2:14" x14ac:dyDescent="0.2">
      <c r="B5" s="79" t="s">
        <v>104</v>
      </c>
      <c r="E5" s="80"/>
      <c r="F5" s="80"/>
      <c r="G5" s="80"/>
      <c r="M5" s="93"/>
      <c r="N5" s="94"/>
    </row>
    <row r="6" spans="2:14" x14ac:dyDescent="0.2">
      <c r="E6" s="80"/>
      <c r="F6" s="80"/>
      <c r="G6" s="80"/>
      <c r="M6" s="93"/>
      <c r="N6" s="94"/>
    </row>
    <row r="7" spans="2:14" x14ac:dyDescent="0.2">
      <c r="E7" s="80"/>
      <c r="F7" s="80"/>
      <c r="G7" s="80"/>
      <c r="M7" s="95"/>
      <c r="N7" s="96"/>
    </row>
    <row r="8" spans="2:14" x14ac:dyDescent="0.2">
      <c r="E8" s="80"/>
      <c r="F8" s="80"/>
      <c r="G8" s="80"/>
      <c r="M8" s="95"/>
      <c r="N8" s="96"/>
    </row>
    <row r="9" spans="2:14" x14ac:dyDescent="0.2">
      <c r="E9" s="80"/>
      <c r="F9" s="80"/>
      <c r="G9" s="80"/>
      <c r="M9" s="95"/>
      <c r="N9" s="96"/>
    </row>
    <row r="10" spans="2:14" x14ac:dyDescent="0.2">
      <c r="E10" s="80"/>
      <c r="F10" s="80"/>
      <c r="G10" s="80"/>
      <c r="M10" s="95"/>
      <c r="N10" s="96"/>
    </row>
    <row r="11" spans="2:14" x14ac:dyDescent="0.2">
      <c r="E11" s="80"/>
      <c r="F11" s="80"/>
      <c r="G11" s="80"/>
      <c r="M11" s="95"/>
      <c r="N11" s="96"/>
    </row>
    <row r="12" spans="2:14" x14ac:dyDescent="0.2">
      <c r="E12" s="80"/>
      <c r="F12" s="80"/>
      <c r="G12" s="80"/>
      <c r="M12" s="95"/>
      <c r="N12" s="96"/>
    </row>
    <row r="13" spans="2:14" x14ac:dyDescent="0.2">
      <c r="E13" s="80"/>
      <c r="F13" s="80"/>
      <c r="G13" s="80"/>
      <c r="M13" s="95"/>
      <c r="N13" s="96"/>
    </row>
    <row r="14" spans="2:14" x14ac:dyDescent="0.2">
      <c r="E14" s="80"/>
      <c r="F14" s="80"/>
      <c r="G14" s="80"/>
      <c r="M14" s="95"/>
      <c r="N14" s="96"/>
    </row>
    <row r="15" spans="2:14" x14ac:dyDescent="0.2">
      <c r="E15" s="80"/>
      <c r="F15" s="80"/>
      <c r="G15" s="80"/>
      <c r="M15" s="95"/>
      <c r="N15" s="96"/>
    </row>
    <row r="16" spans="2:14" x14ac:dyDescent="0.2">
      <c r="E16" s="80"/>
      <c r="F16" s="80"/>
      <c r="G16" s="80"/>
      <c r="M16" s="95"/>
      <c r="N16" s="96"/>
    </row>
    <row r="17" spans="2:14" x14ac:dyDescent="0.2">
      <c r="E17" s="80"/>
      <c r="F17" s="80"/>
      <c r="G17" s="80"/>
      <c r="M17" s="95"/>
      <c r="N17" s="96"/>
    </row>
    <row r="18" spans="2:14" x14ac:dyDescent="0.2">
      <c r="E18" s="80"/>
      <c r="F18" s="80"/>
      <c r="G18" s="80"/>
      <c r="M18" s="95"/>
      <c r="N18" s="96"/>
    </row>
    <row r="19" spans="2:14" x14ac:dyDescent="0.2">
      <c r="E19" s="80"/>
      <c r="F19" s="80"/>
      <c r="G19" s="80"/>
      <c r="M19" s="95"/>
      <c r="N19" s="96"/>
    </row>
    <row r="20" spans="2:14" x14ac:dyDescent="0.2">
      <c r="M20" s="95"/>
      <c r="N20" s="96"/>
    </row>
    <row r="21" spans="2:14" x14ac:dyDescent="0.2">
      <c r="B21" s="79" t="s">
        <v>104</v>
      </c>
      <c r="M21" s="95"/>
      <c r="N21" s="96"/>
    </row>
    <row r="22" spans="2:14" x14ac:dyDescent="0.2">
      <c r="M22" s="95"/>
      <c r="N22" s="96"/>
    </row>
    <row r="23" spans="2:14" x14ac:dyDescent="0.2">
      <c r="M23" s="97"/>
      <c r="N23" s="98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Tutoriel</vt:lpstr>
      <vt:lpstr>Accueil</vt:lpstr>
      <vt:lpstr>Trajets</vt:lpstr>
      <vt:lpstr>Donnees-Recap</vt:lpstr>
      <vt:lpstr>Trajets-MyPeugeot (Modèle)</vt:lpstr>
      <vt:lpstr>Accueil (Modèle)</vt:lpstr>
    </vt:vector>
  </TitlesOfParts>
  <Manager>MilesTEG1</Manager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2020-04-19T15:21:45Z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