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mc:AlternateContent xmlns:mc="http://schemas.openxmlformats.org/markup-compatibility/2006">
    <mc:Choice Requires="x15">
      <x15ac:absPath xmlns:x15ac="http://schemas.microsoft.com/office/spreadsheetml/2010/11/ac" url="C:\Users\Pierrick\GitHub\Importation-Excel-Donnees-MyPeugeot\Fichiers XLSM\"/>
    </mc:Choice>
  </mc:AlternateContent>
  <xr:revisionPtr revIDLastSave="0" documentId="13_ncr:1_{9BCF7FFA-8E15-4AAE-8999-1DCD8AD59964}" xr6:coauthVersionLast="45" xr6:coauthVersionMax="45" xr10:uidLastSave="{00000000-0000-0000-0000-000000000000}"/>
  <bookViews>
    <workbookView xWindow="3120" yWindow="3120" windowWidth="28800" windowHeight="15555" tabRatio="744" activeTab="2" xr2:uid="{00000000-000D-0000-FFFF-FFFF00000000}"/>
  </bookViews>
  <sheets>
    <sheet name="Tuto-Import" sheetId="19" r:id="rId1"/>
    <sheet name="Tuto-Export" sheetId="20" r:id="rId2"/>
    <sheet name="Accueil" sheetId="17" r:id="rId3"/>
    <sheet name="Trajets" sheetId="12" r:id="rId4"/>
    <sheet name="Donnees-Recap" sheetId="21" r:id="rId5"/>
  </sheets>
  <functionGroups builtInGroupCount="19"/>
  <definedNames>
    <definedName name="_xlnm._FilterDatabase" localSheetId="3" hidden="1">Trajets!$A$2:$B$3799</definedName>
  </definedNames>
  <calcPr calcId="191029"/>
  <pivotCaches>
    <pivotCache cacheId="3"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55" i="21" l="1"/>
  <c r="I51" i="21" s="1"/>
  <c r="F55" i="21"/>
  <c r="G52" i="21" s="1"/>
  <c r="I53" i="21"/>
  <c r="I52" i="21"/>
  <c r="I49" i="21"/>
  <c r="I46" i="21"/>
  <c r="I45" i="21"/>
  <c r="I44" i="21"/>
  <c r="G44" i="21"/>
  <c r="I43" i="21"/>
  <c r="I42" i="21"/>
  <c r="I41" i="21"/>
  <c r="I40" i="21"/>
  <c r="I39" i="21"/>
  <c r="I38" i="21"/>
  <c r="I37" i="21"/>
  <c r="I36" i="21"/>
  <c r="I35" i="21"/>
  <c r="G35" i="21"/>
  <c r="I34" i="21"/>
  <c r="I33" i="21"/>
  <c r="I32" i="21"/>
  <c r="I31" i="21"/>
  <c r="I30" i="21"/>
  <c r="I29" i="21"/>
  <c r="G29" i="21"/>
  <c r="I28" i="21"/>
  <c r="I27" i="21"/>
  <c r="G27" i="21"/>
  <c r="I26" i="21"/>
  <c r="I25" i="21"/>
  <c r="G25" i="21"/>
  <c r="I24" i="21"/>
  <c r="I23" i="21"/>
  <c r="G23" i="21"/>
  <c r="I22" i="21"/>
  <c r="I21" i="21"/>
  <c r="G21" i="21"/>
  <c r="I20" i="21"/>
  <c r="I19" i="21"/>
  <c r="G19" i="21"/>
  <c r="I18" i="21"/>
  <c r="I17" i="21"/>
  <c r="G17" i="21"/>
  <c r="I16" i="21"/>
  <c r="G16" i="21"/>
  <c r="I15" i="21"/>
  <c r="G15" i="21"/>
  <c r="I14" i="21"/>
  <c r="G14" i="21"/>
  <c r="I13" i="21"/>
  <c r="G13" i="21"/>
  <c r="I12" i="21"/>
  <c r="G12" i="21"/>
  <c r="I11" i="21"/>
  <c r="G11" i="21"/>
  <c r="I10" i="21"/>
  <c r="G10" i="21"/>
  <c r="I9" i="21"/>
  <c r="G9" i="21"/>
  <c r="I8" i="21"/>
  <c r="G8" i="21"/>
  <c r="I7" i="21"/>
  <c r="G7" i="21"/>
  <c r="I6" i="21"/>
  <c r="G6" i="21"/>
  <c r="I5" i="21"/>
  <c r="G5" i="21"/>
  <c r="I4" i="21"/>
  <c r="G4" i="21"/>
  <c r="F1" i="21"/>
  <c r="I48" i="21" l="1"/>
  <c r="G53" i="21"/>
  <c r="G18" i="21"/>
  <c r="G20" i="21"/>
  <c r="G22" i="21"/>
  <c r="G24" i="21"/>
  <c r="G26" i="21"/>
  <c r="G28" i="21"/>
  <c r="G39" i="21"/>
  <c r="G31" i="21"/>
  <c r="G37" i="21"/>
  <c r="G46" i="21"/>
  <c r="I50" i="21"/>
  <c r="G51" i="21"/>
  <c r="G33" i="21"/>
  <c r="G42" i="21"/>
  <c r="I47" i="21"/>
  <c r="G30" i="21"/>
  <c r="G32" i="21"/>
  <c r="G34" i="21"/>
  <c r="G36" i="21"/>
  <c r="G38" i="21"/>
  <c r="G40" i="21"/>
  <c r="G48" i="21"/>
  <c r="G41" i="21"/>
  <c r="G43" i="21"/>
  <c r="G45" i="21"/>
  <c r="G47" i="21"/>
  <c r="G49" i="21"/>
  <c r="G50" i="21"/>
  <c r="H1" i="17"/>
  <c r="I4" i="17"/>
</calcChain>
</file>

<file path=xl/sharedStrings.xml><?xml version="1.0" encoding="utf-8"?>
<sst xmlns="http://schemas.openxmlformats.org/spreadsheetml/2006/main" count="137" uniqueCount="128">
  <si>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</si>
  <si>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</si>
  <si>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</si>
  <si>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</si>
  <si>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</si>
  <si>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</si>
  <si>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</si>
  <si>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</si>
  <si>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</si>
  <si>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</si>
  <si>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</si>
  <si>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</si>
  <si>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</si>
  <si>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</si>
  <si>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</si>
  <si>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</si>
  <si>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</si>
  <si>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</si>
  <si>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</si>
  <si>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</si>
  <si>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</si>
  <si>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</si>
  <si>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</si>
  <si>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</si>
  <si>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</si>
  <si>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</si>
  <si>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</si>
  <si>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</si>
  <si>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</si>
  <si>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</si>
  <si>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</si>
  <si>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</si>
  <si>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</si>
  <si>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</si>
  <si>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</si>
  <si>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</si>
  <si>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</si>
  <si>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</si>
  <si>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</si>
  <si>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</si>
  <si>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</si>
  <si>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</si>
  <si>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</si>
  <si>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</si>
  <si>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</si>
  <si>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</si>
  <si>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</si>
  <si>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</si>
  <si>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</si>
  <si>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</si>
  <si>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</si>
  <si>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</si>
  <si>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</si>
  <si>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</si>
  <si>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</si>
  <si>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distance (km)</t>
  </si>
  <si>
    <t>Début</t>
  </si>
  <si>
    <t>Fin</t>
  </si>
  <si>
    <t>Niveau de carburant (%)</t>
  </si>
  <si>
    <t>Jour</t>
  </si>
  <si>
    <t>Mois</t>
  </si>
  <si>
    <t>Dist max / j</t>
  </si>
  <si>
    <t>Distance Mensuelle (km)</t>
  </si>
  <si>
    <t>Distance du jour (km)</t>
  </si>
  <si>
    <t>Nb. Trajets</t>
  </si>
  <si>
    <t>Total km :</t>
  </si>
  <si>
    <t>Durée (h:min)</t>
  </si>
  <si>
    <t>Autonomie restante (km)</t>
  </si>
  <si>
    <t>Chemin d'accès du fichier :</t>
  </si>
  <si>
    <t>VIN(s)</t>
  </si>
  <si>
    <t>Distance totale</t>
  </si>
  <si>
    <t>Distance trajet</t>
  </si>
  <si>
    <t>Conso L/100 km</t>
  </si>
  <si>
    <t>Conso L/trajet</t>
  </si>
  <si>
    <t>Adresse de Départ</t>
  </si>
  <si>
    <t>Latitude Départ</t>
  </si>
  <si>
    <t>Longitude Départ</t>
  </si>
  <si>
    <t>Latitude Arrivée</t>
  </si>
  <si>
    <t>Longitude Arrivée</t>
  </si>
  <si>
    <t>Adresse d'arrivée_x000D_</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</si>
  <si>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</si>
  <si>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</si>
  <si>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</si>
  <si>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</si>
  <si>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</si>
  <si>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</si>
  <si>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</si>
  <si>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</si>
  <si>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</si>
  <si>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</si>
  <si>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</si>
  <si>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Vous pouvez modifier ici la description des véhicules, mais ne changer par les VINs et leur nombre !</t>
  </si>
  <si>
    <t>Coordonnées</t>
  </si>
  <si>
    <t>Longitude :</t>
  </si>
  <si>
    <t>Latitude :</t>
  </si>
  <si>
    <t xml:space="preserve">Dernière adresse connue </t>
  </si>
  <si>
    <t>Ceci ne fonctionne que si UN seul VIN est sélectionné dans le tableau en F3</t>
  </si>
  <si>
    <t>Km début trajet</t>
  </si>
  <si>
    <t>Distance</t>
  </si>
  <si>
    <t>Adresse
destination</t>
  </si>
  <si>
    <t>Quality
Destination</t>
  </si>
  <si>
    <t>Jours avant maintenance</t>
  </si>
  <si>
    <t>Distance avant maintenance</t>
  </si>
  <si>
    <t>Maintenance faite</t>
  </si>
  <si>
    <t>Quality pos départ</t>
  </si>
  <si>
    <t>Quality pos arrivée</t>
  </si>
  <si>
    <t>Alertes actives</t>
  </si>
  <si>
    <t>Alertes résolues</t>
  </si>
  <si>
    <t>Dans ces colonnes figurera des données peu utile au quotidien, mais utilisées pour reconstruire le fichier JSON de données.</t>
  </si>
  <si>
    <t>Temps UNIX Début</t>
  </si>
  <si>
    <t>Temps UNIX Fin</t>
  </si>
  <si>
    <t>Marque</t>
  </si>
  <si>
    <t>startPosAltitude</t>
  </si>
  <si>
    <t>endPosAltitude</t>
  </si>
  <si>
    <t>destLongitude</t>
  </si>
  <si>
    <t>destLatitude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</si>
  <si>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</si>
  <si>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</si>
  <si>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</si>
  <si>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</si>
  <si>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</si>
  <si>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</si>
  <si>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</si>
  <si>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</si>
  <si>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</si>
  <si>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</si>
  <si>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(vide)</t>
  </si>
  <si>
    <t>v2.0.3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</si>
</sst>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000"/>
    <numFmt numFmtId="166" formatCode="dd/mm/yy;@"/>
    <numFmt numFmtId="167" formatCode="dd/mm/yy\ \-\ hh:mm"/>
    <numFmt numFmtId="168" formatCode="0\ %"/>
  </numFmts>
  <fonts count="38"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8"/>
      <name val="Calibri"/>
      <family val="2"/>
    </font>
    <font>
      <sz val="10"/>
      <name val="Arial"/>
      <family val="2"/>
    </font>
    <font>
      <b/>
      <sz val="10"/>
      <color rgb="FF000080"/>
      <name val="Calibri"/>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color rgb="FF000080"/>
      <name val="Calibri"/>
      <family val="2"/>
    </font>
    <font>
      <sz val="12"/>
      <color rgb="FF008000"/>
      <name val="Calibri"/>
      <family val="2"/>
    </font>
    <font>
      <sz val="10"/>
      <color rgb="FF000080"/>
      <name val="Calibri"/>
      <family val="2"/>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11"/>
      <color rgb="FF993300"/>
      <name val="Calibri"/>
      <family val="2"/>
    </font>
    <font>
      <sz val="12"/>
      <color rgb="FF333333"/>
      <name val="Calibri"/>
      <family val="2"/>
    </font>
    <font>
      <sz val="12"/>
      <color rgb="FF0000FF"/>
      <name val="Calibri"/>
      <family val="2"/>
    </font>
    <font>
      <sz val="11"/>
      <color rgb="FFFF0000"/>
      <name val="Calibri"/>
      <family val="2"/>
    </font>
    <font>
      <sz val="8"/>
      <name val="Calibri"/>
      <family val="2"/>
      <scheme val="minor"/>
    </font>
    <font>
      <sz val="8"/>
      <color theme="0"/>
      <name val="Calibri"/>
      <family val="2"/>
      <scheme val="minor"/>
    </font>
  </fonts>
  <fills count="14">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s>
  <borders count="37">
    <border>
      <left/>
      <right/>
      <top/>
      <bottom/>
      <diagonal/>
    </border>
    <border>
      <left style="thin">
        <color indexed="64"/>
      </left>
      <right/>
      <top/>
      <bottom/>
      <diagonal/>
    </border>
    <border>
      <left/>
      <right style="dotted">
        <color auto="1"/>
      </right>
      <top/>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9" fillId="0" borderId="0"/>
  </cellStyleXfs>
  <cellXfs count="143">
    <xf numFmtId="0" fontId="0" fillId="0" borderId="0" xfId="0"/>
    <xf numFmtId="0" fontId="1" fillId="0" borderId="0" xfId="0" applyFont="1" applyAlignment="1">
      <alignment horizontal="center" vertical="center"/>
    </xf>
    <xf numFmtId="166" fontId="6" fillId="2" borderId="0" xfId="0" applyNumberFormat="1" applyFont="1" applyFill="1" applyAlignment="1">
      <alignment horizontal="center"/>
    </xf>
    <xf numFmtId="49" fontId="6" fillId="2" borderId="0" xfId="0" applyNumberFormat="1" applyFont="1" applyFill="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6" fillId="6" borderId="0" xfId="0" applyNumberFormat="1" applyFont="1" applyFill="1" applyAlignment="1">
      <alignment horizontal="right"/>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2" fontId="1" fillId="0" borderId="4" xfId="0" applyNumberFormat="1" applyFont="1" applyBorder="1" applyAlignment="1">
      <alignment horizontal="center" vertical="center"/>
    </xf>
    <xf numFmtId="164" fontId="1" fillId="0" borderId="5" xfId="0" applyNumberFormat="1" applyFont="1" applyBorder="1" applyAlignment="1">
      <alignment horizontal="center" vertical="center"/>
    </xf>
    <xf numFmtId="167" fontId="1" fillId="0" borderId="0" xfId="0" applyNumberFormat="1" applyFont="1" applyAlignment="1">
      <alignment horizontal="center" vertical="center"/>
    </xf>
    <xf numFmtId="20" fontId="1" fillId="0" borderId="3" xfId="0" applyNumberFormat="1" applyFont="1" applyBorder="1" applyAlignment="1">
      <alignment horizontal="center" vertical="center"/>
    </xf>
    <xf numFmtId="0" fontId="1" fillId="0" borderId="7" xfId="0" applyFont="1" applyBorder="1" applyAlignment="1">
      <alignment horizontal="center" vertical="center"/>
    </xf>
    <xf numFmtId="168" fontId="1" fillId="0" borderId="0" xfId="0" applyNumberFormat="1" applyFont="1" applyAlignment="1">
      <alignment horizontal="center" vertical="center"/>
    </xf>
    <xf numFmtId="0" fontId="8" fillId="0" borderId="0" xfId="0" applyNumberFormat="1" applyFont="1" applyAlignment="1">
      <alignment horizontal="center" vertical="center"/>
    </xf>
    <xf numFmtId="0" fontId="4" fillId="2" borderId="0" xfId="0" applyFont="1" applyFill="1" applyAlignment="1">
      <alignment horizontal="center" vertical="center"/>
    </xf>
    <xf numFmtId="2" fontId="4" fillId="2" borderId="0" xfId="0" applyNumberFormat="1" applyFont="1" applyFill="1" applyAlignment="1">
      <alignment horizontal="left" vertical="center"/>
    </xf>
    <xf numFmtId="0" fontId="4" fillId="2" borderId="0" xfId="0" applyNumberFormat="1" applyFont="1" applyFill="1" applyAlignment="1">
      <alignment horizontal="left" vertical="center"/>
    </xf>
    <xf numFmtId="0" fontId="3" fillId="4" borderId="0" xfId="0" applyFont="1" applyFill="1" applyBorder="1" applyAlignment="1">
      <alignment vertical="center"/>
    </xf>
    <xf numFmtId="167" fontId="5" fillId="3" borderId="6" xfId="0" applyNumberFormat="1" applyFont="1" applyFill="1" applyBorder="1" applyAlignment="1">
      <alignment horizontal="center" vertical="center" wrapText="1"/>
    </xf>
    <xf numFmtId="0" fontId="5" fillId="3" borderId="6" xfId="0" applyNumberFormat="1" applyFont="1" applyFill="1" applyBorder="1" applyAlignment="1">
      <alignment horizontal="center" vertical="center" wrapText="1"/>
    </xf>
    <xf numFmtId="0" fontId="1" fillId="2" borderId="0" xfId="0" applyNumberFormat="1" applyFont="1" applyFill="1" applyBorder="1" applyAlignment="1">
      <alignment horizontal="center" vertical="center" wrapText="1"/>
    </xf>
    <xf numFmtId="0" fontId="4" fillId="2" borderId="0" xfId="0" applyNumberFormat="1" applyFont="1" applyFill="1" applyBorder="1" applyAlignment="1">
      <alignment horizontal="center" vertical="center" wrapText="1"/>
    </xf>
    <xf numFmtId="0" fontId="4" fillId="2" borderId="7" xfId="0" applyNumberFormat="1"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3" borderId="6" xfId="0" applyNumberFormat="1" applyFont="1" applyFill="1" applyBorder="1" applyAlignment="1">
      <alignment horizontal="center" vertical="center" wrapText="1"/>
    </xf>
    <xf numFmtId="165" fontId="5" fillId="3" borderId="6" xfId="0" applyNumberFormat="1" applyFont="1" applyFill="1" applyBorder="1" applyAlignment="1">
      <alignment horizontal="center" vertical="center" wrapText="1"/>
    </xf>
    <xf numFmtId="0" fontId="1" fillId="2" borderId="0" xfId="0" applyFont="1" applyFill="1" applyAlignment="1">
      <alignment horizontal="left" vertical="center"/>
    </xf>
    <xf numFmtId="0" fontId="1" fillId="2" borderId="0" xfId="0" applyNumberFormat="1" applyFont="1" applyFill="1" applyAlignment="1">
      <alignment horizontal="left" vertical="center"/>
    </xf>
    <xf numFmtId="0" fontId="9" fillId="9" borderId="0" xfId="1" applyFill="1"/>
    <xf numFmtId="0" fontId="11" fillId="8" borderId="14" xfId="1" applyNumberFormat="1" applyFont="1" applyFill="1" applyBorder="1" applyAlignment="1">
      <alignment horizontal="center" wrapText="1"/>
    </xf>
    <xf numFmtId="0" fontId="12" fillId="8" borderId="15" xfId="1" applyNumberFormat="1" applyFont="1" applyFill="1" applyBorder="1" applyAlignment="1">
      <alignment horizontal="center" vertical="top" wrapText="1"/>
    </xf>
    <xf numFmtId="0" fontId="14" fillId="9" borderId="0" xfId="1" applyFont="1" applyFill="1"/>
    <xf numFmtId="0" fontId="14" fillId="0" borderId="0" xfId="0" pivotButton="1" applyFont="1" applyAlignment="1">
      <alignment horizontal="center" vertical="center"/>
    </xf>
    <xf numFmtId="0" fontId="14" fillId="0" borderId="0" xfId="0" applyFont="1"/>
    <xf numFmtId="0" fontId="15" fillId="9" borderId="0" xfId="1" applyFont="1" applyFill="1" applyAlignment="1">
      <alignment vertical="center"/>
    </xf>
    <xf numFmtId="0" fontId="14" fillId="0" borderId="0" xfId="0" applyFont="1" applyAlignment="1">
      <alignment horizontal="center" vertical="center" wrapText="1"/>
    </xf>
    <xf numFmtId="0" fontId="14" fillId="0" borderId="0" xfId="0" applyFont="1" applyAlignment="1">
      <alignment horizontal="center" vertical="center"/>
    </xf>
    <xf numFmtId="0" fontId="13" fillId="10" borderId="12" xfId="0" applyFont="1" applyFill="1" applyBorder="1" applyAlignment="1">
      <alignment horizontal="center" vertical="center"/>
    </xf>
    <xf numFmtId="0" fontId="13" fillId="10" borderId="13" xfId="0" applyFont="1" applyFill="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1" xfId="0" applyFont="1" applyBorder="1" applyAlignment="1">
      <alignment horizontal="center" vertical="center"/>
    </xf>
    <xf numFmtId="0" fontId="14" fillId="0" borderId="7" xfId="0" applyFont="1" applyBorder="1" applyAlignment="1">
      <alignment horizontal="center" vertical="center"/>
    </xf>
    <xf numFmtId="0" fontId="14" fillId="9" borderId="1" xfId="1" applyFont="1" applyFill="1" applyBorder="1" applyAlignment="1">
      <alignment horizontal="center" vertical="center"/>
    </xf>
    <xf numFmtId="0" fontId="14" fillId="9" borderId="7" xfId="1" applyFont="1" applyFill="1" applyBorder="1" applyAlignment="1">
      <alignment horizontal="center" vertical="center"/>
    </xf>
    <xf numFmtId="0" fontId="14" fillId="9" borderId="10" xfId="1" applyFont="1" applyFill="1" applyBorder="1" applyAlignment="1">
      <alignment horizontal="center" vertical="center"/>
    </xf>
    <xf numFmtId="0" fontId="14" fillId="9" borderId="11" xfId="1" applyFont="1" applyFill="1" applyBorder="1" applyAlignment="1">
      <alignment horizontal="center" vertical="center"/>
    </xf>
    <xf numFmtId="0" fontId="14" fillId="9" borderId="0" xfId="1" applyFont="1" applyFill="1" applyAlignment="1">
      <alignment horizontal="center" vertical="center"/>
    </xf>
    <xf numFmtId="0" fontId="16" fillId="7" borderId="0" xfId="1" applyFont="1" applyFill="1" applyBorder="1" applyAlignment="1">
      <alignment horizontal="right" vertical="center"/>
    </xf>
    <xf numFmtId="0" fontId="16" fillId="7" borderId="0" xfId="1" applyFont="1" applyFill="1" applyBorder="1" applyAlignment="1">
      <alignment horizontal="right"/>
    </xf>
    <xf numFmtId="0" fontId="8" fillId="11" borderId="21" xfId="0" applyFont="1" applyFill="1" applyBorder="1" applyAlignment="1">
      <alignment horizontal="center" vertical="center" wrapText="1"/>
    </xf>
    <xf numFmtId="0" fontId="8" fillId="11" borderId="22" xfId="0" applyFont="1" applyFill="1" applyBorder="1" applyAlignment="1">
      <alignment horizontal="center" vertical="center" wrapText="1"/>
    </xf>
    <xf numFmtId="0" fontId="8" fillId="11" borderId="0" xfId="0" applyFont="1" applyFill="1" applyAlignment="1">
      <alignment horizontal="center" vertical="center"/>
    </xf>
    <xf numFmtId="0" fontId="13" fillId="10" borderId="23" xfId="0" applyFont="1" applyFill="1" applyBorder="1" applyAlignment="1">
      <alignment horizontal="center" vertical="center"/>
    </xf>
    <xf numFmtId="0" fontId="14" fillId="0" borderId="24" xfId="0" applyFont="1" applyBorder="1" applyAlignment="1">
      <alignment horizontal="center" vertical="center"/>
    </xf>
    <xf numFmtId="0" fontId="14" fillId="0" borderId="0" xfId="0" applyFont="1" applyBorder="1" applyAlignment="1">
      <alignment horizontal="center" vertical="center"/>
    </xf>
    <xf numFmtId="0" fontId="14" fillId="9" borderId="0" xfId="1" applyFont="1" applyFill="1" applyBorder="1" applyAlignment="1">
      <alignment horizontal="center" vertical="center"/>
    </xf>
    <xf numFmtId="0" fontId="14" fillId="9" borderId="20" xfId="1" applyFont="1" applyFill="1" applyBorder="1" applyAlignment="1">
      <alignment horizontal="center" vertical="center"/>
    </xf>
    <xf numFmtId="0" fontId="17" fillId="11" borderId="0" xfId="0" applyFont="1" applyFill="1" applyBorder="1" applyAlignment="1">
      <alignment horizontal="center" vertical="center"/>
    </xf>
    <xf numFmtId="0" fontId="18" fillId="12" borderId="25" xfId="0" applyFont="1" applyFill="1" applyBorder="1" applyAlignment="1">
      <alignment horizontal="center" vertical="center" wrapText="1"/>
    </xf>
    <xf numFmtId="0" fontId="17" fillId="11" borderId="0" xfId="0" applyFont="1" applyFill="1" applyBorder="1" applyAlignment="1">
      <alignment horizontal="center" vertical="center"/>
    </xf>
    <xf numFmtId="0" fontId="8" fillId="11" borderId="22" xfId="0" applyFont="1" applyFill="1" applyBorder="1" applyAlignment="1">
      <alignment horizontal="center" vertical="center"/>
    </xf>
    <xf numFmtId="0" fontId="5" fillId="3" borderId="6" xfId="0" applyNumberFormat="1" applyFont="1" applyFill="1" applyBorder="1" applyAlignment="1">
      <alignment horizontal="center" vertical="center" wrapText="1"/>
    </xf>
    <xf numFmtId="0" fontId="1" fillId="2" borderId="0" xfId="0" applyNumberFormat="1" applyFont="1" applyFill="1" applyAlignment="1">
      <alignment horizontal="center" vertical="center" wrapText="1"/>
    </xf>
    <xf numFmtId="49" fontId="1" fillId="0" borderId="0" xfId="0" applyNumberFormat="1" applyFont="1" applyAlignment="1">
      <alignment horizontal="left" vertical="center"/>
    </xf>
    <xf numFmtId="49" fontId="1" fillId="0" borderId="5" xfId="0" applyNumberFormat="1" applyFont="1" applyBorder="1" applyAlignment="1">
      <alignment horizontal="left" vertical="center"/>
    </xf>
    <xf numFmtId="0" fontId="1" fillId="9" borderId="0" xfId="0" applyFont="1" applyFill="1" applyBorder="1" applyAlignment="1">
      <alignment horizontal="center" vertical="center"/>
    </xf>
    <xf numFmtId="0" fontId="1" fillId="9" borderId="0" xfId="0" applyFont="1" applyFill="1" applyBorder="1" applyAlignment="1">
      <alignment horizontal="center" vertical="center" wrapText="1"/>
    </xf>
    <xf numFmtId="0" fontId="7" fillId="9" borderId="0" xfId="1" applyFont="1" applyFill="1"/>
    <xf numFmtId="0" fontId="23" fillId="9" borderId="0" xfId="1" applyFont="1" applyFill="1"/>
    <xf numFmtId="0" fontId="24" fillId="9" borderId="0" xfId="1" applyFont="1" applyFill="1"/>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32" xfId="1" applyNumberFormat="1" applyFont="1" applyFill="1" applyBorder="1"/>
    <xf numFmtId="0" fontId="22" fillId="9" borderId="32" xfId="1" applyFont="1" applyFill="1" applyBorder="1"/>
    <xf numFmtId="0" fontId="22" fillId="9" borderId="34" xfId="1" applyFont="1" applyFill="1" applyBorder="1"/>
    <xf numFmtId="49" fontId="31" fillId="7" borderId="0" xfId="1" applyNumberFormat="1" applyFont="1" applyFill="1" applyBorder="1" applyAlignment="1">
      <alignment horizontal="left" vertical="center"/>
    </xf>
    <xf numFmtId="1" fontId="14" fillId="13" borderId="0" xfId="0" applyNumberFormat="1" applyFont="1" applyFill="1" applyAlignment="1">
      <alignment horizontal="center" vertical="center"/>
    </xf>
    <xf numFmtId="1" fontId="14" fillId="13" borderId="0" xfId="0" applyNumberFormat="1" applyFont="1" applyFill="1" applyBorder="1" applyAlignment="1">
      <alignment horizontal="center" vertical="center"/>
    </xf>
    <xf numFmtId="164" fontId="14" fillId="13" borderId="0" xfId="0" applyNumberFormat="1" applyFont="1" applyFill="1" applyBorder="1" applyAlignment="1">
      <alignment horizontal="center" vertical="center"/>
    </xf>
    <xf numFmtId="2" fontId="14" fillId="13" borderId="0" xfId="0" applyNumberFormat="1" applyFont="1" applyFill="1" applyBorder="1" applyAlignment="1">
      <alignment horizontal="center" vertical="center"/>
    </xf>
    <xf numFmtId="2" fontId="9" fillId="13" borderId="0" xfId="0" applyNumberFormat="1" applyFont="1" applyFill="1" applyAlignment="1">
      <alignment horizontal="center"/>
    </xf>
    <xf numFmtId="0" fontId="13" fillId="13" borderId="0" xfId="0" applyNumberFormat="1" applyFont="1" applyFill="1" applyAlignment="1">
      <alignment horizontal="right" vertical="center"/>
    </xf>
    <xf numFmtId="0" fontId="14" fillId="13" borderId="0" xfId="0" applyNumberFormat="1" applyFont="1" applyFill="1" applyAlignment="1">
      <alignment horizontal="left" vertical="center"/>
    </xf>
    <xf numFmtId="0" fontId="5" fillId="3" borderId="6" xfId="0" applyNumberFormat="1" applyFont="1" applyFill="1" applyBorder="1" applyAlignment="1">
      <alignment horizontal="center" vertical="center" wrapText="1"/>
    </xf>
    <xf numFmtId="49" fontId="1" fillId="0" borderId="4" xfId="0" applyNumberFormat="1" applyFont="1" applyBorder="1" applyAlignment="1">
      <alignment horizontal="left" vertical="center"/>
    </xf>
    <xf numFmtId="49" fontId="1" fillId="0" borderId="0" xfId="0" applyNumberFormat="1" applyFont="1" applyBorder="1" applyAlignment="1">
      <alignment horizontal="left" vertical="center"/>
    </xf>
    <xf numFmtId="49" fontId="1" fillId="11" borderId="0" xfId="0" applyNumberFormat="1" applyFont="1" applyFill="1" applyAlignment="1">
      <alignment horizontal="left" vertical="center"/>
    </xf>
    <xf numFmtId="0" fontId="8" fillId="11" borderId="0" xfId="0" applyFont="1" applyFill="1" applyAlignment="1">
      <alignment horizontal="left" vertical="center"/>
    </xf>
    <xf numFmtId="49" fontId="6" fillId="5" borderId="0" xfId="0" applyNumberFormat="1" applyFont="1" applyFill="1" applyBorder="1" applyAlignment="1">
      <alignment horizontal="center"/>
    </xf>
    <xf numFmtId="49" fontId="6" fillId="6" borderId="0" xfId="0" applyNumberFormat="1" applyFont="1" applyFill="1" applyBorder="1" applyAlignment="1">
      <alignment horizontal="center"/>
    </xf>
    <xf numFmtId="49" fontId="7" fillId="7" borderId="0" xfId="0" applyNumberFormat="1" applyFont="1" applyFill="1" applyBorder="1" applyAlignment="1">
      <alignment horizontal="center"/>
    </xf>
    <xf numFmtId="49" fontId="6" fillId="6" borderId="0" xfId="0" applyNumberFormat="1" applyFont="1" applyFill="1" applyBorder="1" applyAlignment="1">
      <alignment horizontal="right"/>
    </xf>
    <xf numFmtId="49" fontId="7" fillId="0" borderId="0" xfId="0" applyNumberFormat="1" applyFont="1" applyBorder="1" applyAlignment="1">
      <alignment horizontal="center"/>
    </xf>
    <xf numFmtId="0" fontId="0" fillId="0" borderId="2" xfId="0" applyBorder="1"/>
    <xf numFmtId="164" fontId="6" fillId="2" borderId="7" xfId="0" applyNumberFormat="1" applyFont="1" applyFill="1" applyBorder="1" applyAlignment="1">
      <alignment horizontal="center"/>
    </xf>
    <xf numFmtId="0" fontId="0" fillId="0" borderId="7" xfId="0" applyBorder="1"/>
    <xf numFmtId="49" fontId="36" fillId="9" borderId="0" xfId="1" applyNumberFormat="1" applyFont="1" applyFill="1" applyAlignment="1">
      <alignment horizontal="center" vertical="center"/>
    </xf>
    <xf numFmtId="0" fontId="37" fillId="9" borderId="0" xfId="1" applyFont="1" applyFill="1" applyAlignment="1">
      <alignment horizontal="center" vertical="center"/>
    </xf>
    <xf numFmtId="49" fontId="28" fillId="9" borderId="29" xfId="1" applyNumberFormat="1" applyFont="1" applyFill="1" applyBorder="1" applyAlignment="1">
      <alignment horizontal="center" vertical="top"/>
    </xf>
    <xf numFmtId="49" fontId="28" fillId="9" borderId="30" xfId="1" applyNumberFormat="1" applyFont="1" applyFill="1" applyBorder="1" applyAlignment="1">
      <alignment horizontal="center" vertical="top"/>
    </xf>
    <xf numFmtId="49" fontId="28" fillId="9" borderId="31" xfId="1" applyNumberFormat="1" applyFont="1" applyFill="1" applyBorder="1" applyAlignment="1">
      <alignment horizontal="center" vertical="top"/>
    </xf>
    <xf numFmtId="49" fontId="28" fillId="9" borderId="32" xfId="1" applyNumberFormat="1" applyFont="1" applyFill="1" applyBorder="1" applyAlignment="1">
      <alignment horizontal="center" vertical="top"/>
    </xf>
    <xf numFmtId="49" fontId="28" fillId="9" borderId="0" xfId="1" applyNumberFormat="1" applyFont="1" applyFill="1" applyBorder="1" applyAlignment="1">
      <alignment horizontal="center" vertical="top"/>
    </xf>
    <xf numFmtId="49" fontId="28" fillId="9" borderId="33" xfId="1" applyNumberFormat="1" applyFont="1" applyFill="1" applyBorder="1" applyAlignment="1">
      <alignment horizontal="center" vertical="top"/>
    </xf>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0" xfId="1" applyNumberFormat="1" applyFont="1" applyFill="1" applyBorder="1" applyAlignment="1">
      <alignment horizontal="justify" vertical="top" wrapText="1"/>
    </xf>
    <xf numFmtId="49" fontId="25" fillId="9" borderId="33" xfId="1" applyNumberFormat="1" applyFont="1" applyFill="1" applyBorder="1" applyAlignment="1">
      <alignment horizontal="justify" vertical="top" wrapText="1"/>
    </xf>
    <xf numFmtId="49" fontId="25" fillId="9" borderId="35" xfId="1" applyNumberFormat="1" applyFont="1" applyFill="1" applyBorder="1" applyAlignment="1">
      <alignment horizontal="justify" vertical="top" wrapText="1"/>
    </xf>
    <xf numFmtId="49" fontId="25" fillId="9" borderId="36" xfId="1" applyNumberFormat="1" applyFont="1" applyFill="1" applyBorder="1" applyAlignment="1">
      <alignment horizontal="justify" vertical="top" wrapText="1"/>
    </xf>
    <xf numFmtId="49" fontId="25" fillId="9" borderId="0" xfId="1" applyNumberFormat="1" applyFont="1" applyFill="1" applyBorder="1" applyAlignment="1">
      <alignment horizontal="justify" vertical="center" wrapText="1"/>
    </xf>
    <xf numFmtId="49" fontId="25" fillId="9" borderId="33" xfId="1" applyNumberFormat="1" applyFont="1" applyFill="1" applyBorder="1" applyAlignment="1">
      <alignment horizontal="justify" vertical="center" wrapText="1"/>
    </xf>
    <xf numFmtId="49" fontId="25" fillId="9" borderId="32" xfId="1" applyNumberFormat="1" applyFont="1" applyFill="1" applyBorder="1" applyAlignment="1">
      <alignment horizontal="justify" vertical="center" wrapText="1"/>
    </xf>
    <xf numFmtId="49" fontId="26" fillId="9" borderId="0" xfId="1" applyNumberFormat="1" applyFont="1" applyFill="1" applyBorder="1" applyAlignment="1">
      <alignment horizontal="justify" vertical="center" wrapText="1"/>
    </xf>
    <xf numFmtId="49" fontId="26" fillId="9" borderId="33" xfId="1" applyNumberFormat="1" applyFont="1" applyFill="1" applyBorder="1" applyAlignment="1">
      <alignment horizontal="justify" vertical="center" wrapText="1"/>
    </xf>
    <xf numFmtId="49" fontId="29" fillId="9" borderId="26" xfId="1" applyNumberFormat="1" applyFont="1" applyFill="1" applyBorder="1" applyAlignment="1">
      <alignment horizontal="center" vertical="center"/>
    </xf>
    <xf numFmtId="49" fontId="29" fillId="9" borderId="27" xfId="1" applyNumberFormat="1" applyFont="1" applyFill="1" applyBorder="1" applyAlignment="1">
      <alignment horizontal="center" vertical="center"/>
    </xf>
    <xf numFmtId="49" fontId="29" fillId="9" borderId="28" xfId="1" applyNumberFormat="1" applyFont="1" applyFill="1" applyBorder="1" applyAlignment="1">
      <alignment horizontal="center" vertical="center"/>
    </xf>
    <xf numFmtId="0" fontId="13" fillId="6" borderId="19" xfId="1" applyFont="1" applyFill="1" applyBorder="1" applyAlignment="1">
      <alignment horizontal="center" vertical="center"/>
    </xf>
    <xf numFmtId="0" fontId="13" fillId="6" borderId="16" xfId="1" applyFont="1" applyFill="1" applyBorder="1" applyAlignment="1">
      <alignment horizontal="center" vertical="center"/>
    </xf>
    <xf numFmtId="49" fontId="7" fillId="7" borderId="0" xfId="0" applyNumberFormat="1" applyFont="1" applyFill="1" applyBorder="1" applyAlignment="1">
      <alignment horizontal="center" vertical="center" wrapText="1"/>
    </xf>
    <xf numFmtId="49" fontId="7" fillId="7" borderId="17" xfId="0" applyNumberFormat="1" applyFont="1" applyFill="1" applyBorder="1" applyAlignment="1">
      <alignment horizontal="center" vertical="center" wrapText="1"/>
    </xf>
    <xf numFmtId="0" fontId="13" fillId="6" borderId="16" xfId="0" applyFont="1" applyFill="1" applyBorder="1" applyAlignment="1">
      <alignment horizontal="center" vertical="center"/>
    </xf>
    <xf numFmtId="0" fontId="13" fillId="6" borderId="18" xfId="0" applyFont="1" applyFill="1" applyBorder="1" applyAlignment="1">
      <alignment horizontal="center" vertical="center"/>
    </xf>
    <xf numFmtId="0" fontId="15" fillId="9" borderId="0" xfId="1" applyFont="1" applyFill="1" applyAlignment="1">
      <alignment horizontal="center" vertical="center" wrapText="1"/>
    </xf>
    <xf numFmtId="0" fontId="15" fillId="9" borderId="20" xfId="1" applyFont="1" applyFill="1" applyBorder="1" applyAlignment="1">
      <alignment horizontal="center" vertical="center" wrapText="1"/>
    </xf>
    <xf numFmtId="0" fontId="17" fillId="11" borderId="10" xfId="0" applyFont="1" applyFill="1" applyBorder="1" applyAlignment="1">
      <alignment horizontal="center" vertical="center"/>
    </xf>
    <xf numFmtId="0" fontId="17" fillId="11" borderId="20" xfId="0" applyFont="1" applyFill="1" applyBorder="1" applyAlignment="1">
      <alignment horizontal="center" vertical="center"/>
    </xf>
    <xf numFmtId="0" fontId="17" fillId="11" borderId="20" xfId="0" applyFont="1" applyFill="1" applyBorder="1" applyAlignment="1">
      <alignment horizontal="left" vertical="center"/>
    </xf>
    <xf numFmtId="0" fontId="17" fillId="11" borderId="0" xfId="0" applyFont="1" applyFill="1" applyBorder="1" applyAlignment="1">
      <alignment horizontal="center" vertical="center"/>
    </xf>
  </cellXfs>
  <cellStyles count="2">
    <cellStyle name="Normal" xfId="0" builtinId="0"/>
    <cellStyle name="Normal 2" xfId="1" xr:uid="{00000000-0005-0000-0000-000001000000}"/>
  </cellStyles>
  <dxfs count="21">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85725</xdr:rowOff>
        </xdr:from>
        <xdr:to>
          <xdr:col>1</xdr:col>
          <xdr:colOff>466725</xdr:colOff>
          <xdr:row>3</xdr:row>
          <xdr:rowOff>95250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466725</xdr:colOff>
          <xdr:row>7</xdr:row>
          <xdr:rowOff>133350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2</xdr:row>
          <xdr:rowOff>209550</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66675</xdr:rowOff>
    </xdr:from>
    <xdr:to>
      <xdr:col>2</xdr:col>
      <xdr:colOff>123825</xdr:colOff>
      <xdr:row>17</xdr:row>
      <xdr:rowOff>180975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57250"/>
          <a:ext cx="1781175" cy="2809875"/>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133350</xdr:rowOff>
        </xdr:from>
        <xdr:to>
          <xdr:col>2</xdr:col>
          <xdr:colOff>38100</xdr:colOff>
          <xdr:row>6</xdr:row>
          <xdr:rowOff>161925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2</xdr:col>
      <xdr:colOff>219075</xdr:colOff>
      <xdr:row>10</xdr:row>
      <xdr:rowOff>47625</xdr:rowOff>
    </xdr:from>
    <xdr:to>
      <xdr:col>5</xdr:col>
      <xdr:colOff>285750</xdr:colOff>
      <xdr:row>18</xdr:row>
      <xdr:rowOff>0</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1914525" y="2181225"/>
          <a:ext cx="1781175"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7</xdr:row>
          <xdr:rowOff>47625</xdr:rowOff>
        </xdr:from>
        <xdr:to>
          <xdr:col>2</xdr:col>
          <xdr:colOff>38100</xdr:colOff>
          <xdr:row>10</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10</xdr:row>
          <xdr:rowOff>161925</xdr:rowOff>
        </xdr:from>
        <xdr:to>
          <xdr:col>2</xdr:col>
          <xdr:colOff>38100</xdr:colOff>
          <xdr:row>13</xdr:row>
          <xdr:rowOff>200025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10</xdr:row>
          <xdr:rowOff>142875</xdr:rowOff>
        </xdr:from>
        <xdr:to>
          <xdr:col>5</xdr:col>
          <xdr:colOff>209550</xdr:colOff>
          <xdr:row>13</xdr:row>
          <xdr:rowOff>190500</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14</xdr:row>
          <xdr:rowOff>47625</xdr:rowOff>
        </xdr:from>
        <xdr:to>
          <xdr:col>2</xdr:col>
          <xdr:colOff>38100</xdr:colOff>
          <xdr:row>17</xdr:row>
          <xdr:rowOff>104775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14</xdr:row>
          <xdr:rowOff>47625</xdr:rowOff>
        </xdr:from>
        <xdr:to>
          <xdr:col>5</xdr:col>
          <xdr:colOff>209550</xdr:colOff>
          <xdr:row>17</xdr:row>
          <xdr:rowOff>95250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390525</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666750</xdr:colOff>
          <xdr:row>0</xdr:row>
          <xdr:rowOff>28575</xdr:rowOff>
        </xdr:from>
        <xdr:to>
          <xdr:col>16</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rrick -" refreshedDate="43958.695961574071" missingItemsLimit="0" createdVersion="6" refreshedVersion="6" minRefreshableVersion="3" recordCount="1" xr:uid="{00000000-000A-0000-FFFF-FFFF0C000000}">
  <cacheSource type="worksheet">
    <worksheetSource ref="A2:Q1048576" sheet="Trajets"/>
  </cacheSource>
  <cacheFields count="17">
    <cacheField name="VIN(s)" numFmtId="0">
      <sharedItems containsNonDate="0" containsString="0" containsBlank="1" count="1">
        <m/>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min)" numFmtId="20">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Latitude Départ" numFmtId="49">
      <sharedItems containsNonDate="0" containsString="0" containsBlank="1"/>
    </cacheField>
    <cacheField name="Longitude Départ" numFmtId="49">
      <sharedItems containsNonDate="0" containsString="0" containsBlank="1"/>
    </cacheField>
    <cacheField name="Adresse de Départ" numFmtId="49">
      <sharedItems containsNonDate="0" containsString="0" containsBlank="1"/>
    </cacheField>
    <cacheField name="Latitude Arrivée" numFmtId="49">
      <sharedItems containsNonDate="0" containsString="0" containsBlank="1"/>
    </cacheField>
    <cacheField name="Longitude Arrivée" numFmtId="49">
      <sharedItems containsNonDate="0" containsString="0" containsBlank="1"/>
    </cacheField>
    <cacheField name="Adresse d'arrivée_x000d_" numFmtId="49">
      <sharedItems containsNonDate="0" containsString="0" containsBlank="1"/>
    </cacheField>
    <cacheField name="Niveau de carburant (%)"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3"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H4" firstHeaderRow="0" firstDataRow="1" firstDataCol="0" rowPageCount="1" colPageCount="1"/>
  <pivotFields count="17">
    <pivotField axis="axisPage" multipleItemSelectionAllowed="1" showAll="0">
      <items count="2">
        <item x="0"/>
        <item t="default"/>
      </items>
    </pivotField>
    <pivotField dataField="1"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20">
      <pivotArea outline="0" collapsedLevelsAreSubtotals="1" fieldPosition="0">
        <references count="1">
          <reference field="4294967294" count="3" selected="0">
            <x v="1"/>
            <x v="2"/>
            <x v="3"/>
          </reference>
        </references>
      </pivotArea>
    </format>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1">
            <x v="0"/>
          </reference>
        </references>
      </pivotArea>
    </format>
    <format dxfId="17">
      <pivotArea dataOnly="0" labelOnly="1" outline="0" fieldPosition="0">
        <references count="1">
          <reference field="4294967294" count="4">
            <x v="0"/>
            <x v="1"/>
            <x v="2"/>
            <x v="3"/>
          </reference>
        </references>
      </pivotArea>
    </format>
    <format dxfId="16">
      <pivotArea dataOnly="0" labelOnly="1" outline="0" fieldPosition="0">
        <references count="1">
          <reference field="4294967294" count="1">
            <x v="1"/>
          </reference>
        </references>
      </pivotArea>
    </format>
    <format dxfId="15">
      <pivotArea outline="0" collapsedLevelsAreSubtotals="1" fieldPosition="0"/>
    </format>
    <format dxfId="14">
      <pivotArea outline="0" collapsedLevelsAreSubtotals="1" fieldPosition="0"/>
    </format>
    <format dxfId="13">
      <pivotArea outline="0" collapsedLevelsAreSubtotals="1" fieldPosition="0">
        <references count="1">
          <reference field="4294967294" count="1" selected="0">
            <x v="1"/>
          </reference>
        </references>
      </pivotArea>
    </format>
    <format dxfId="12">
      <pivotArea outline="0" collapsedLevelsAreSubtotals="1" fieldPosition="0">
        <references count="1">
          <reference field="4294967294" count="3" selected="0">
            <x v="0"/>
            <x v="2"/>
            <x v="3"/>
          </reference>
        </references>
      </pivotArea>
    </format>
    <format dxfId="11">
      <pivotArea outline="0" collapsedLevelsAreSubtotals="1" fieldPosition="0">
        <references count="1">
          <reference field="4294967294" count="1" selected="0">
            <x v="2"/>
          </reference>
        </references>
      </pivotArea>
    </format>
    <format dxfId="10">
      <pivotArea outline="0" collapsedLevelsAreSubtotals="1" fieldPosition="0">
        <references count="1">
          <reference field="4294967294" count="1" selected="0">
            <x v="0"/>
          </reference>
        </references>
      </pivotArea>
    </format>
    <format dxfId="9">
      <pivotArea field="0" type="button" dataOnly="0" labelOnly="1" outline="0" axis="axisPage" fieldPosition="0"/>
    </format>
    <format dxfId="8">
      <pivotArea field="0" type="button" dataOnly="0" labelOnly="1" outline="0" axis="axisPage" fieldPosition="0"/>
    </format>
    <format dxfId="7">
      <pivotArea type="all" dataOnly="0" outline="0" fieldPosition="0"/>
    </format>
    <format dxfId="6">
      <pivotArea outline="0" collapsedLevelsAreSubtotals="1" fieldPosition="0"/>
    </format>
    <format dxfId="5">
      <pivotArea dataOnly="0" labelOnly="1" outline="0" fieldPosition="0">
        <references count="1">
          <reference field="4294967294" count="4">
            <x v="0"/>
            <x v="1"/>
            <x v="2"/>
            <x v="3"/>
          </reference>
        </references>
      </pivotArea>
    </format>
    <format dxfId="4">
      <pivotArea type="all" dataOnly="0" outline="0" fieldPosition="0"/>
    </format>
    <format dxfId="3">
      <pivotArea outline="0" collapsedLevelsAreSubtotals="1" fieldPosition="0"/>
    </format>
    <format dxfId="2">
      <pivotArea dataOnly="0" labelOnly="1" outline="0" fieldPosition="0">
        <references count="1">
          <reference field="4294967294" count="4">
            <x v="0"/>
            <x v="1"/>
            <x v="2"/>
            <x v="3"/>
          </reference>
        </references>
      </pivotArea>
    </format>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11" sqref="A11"/>
    </sheetView>
  </sheetViews>
  <sheetFormatPr baseColWidth="10" defaultRowHeight="12.75" x14ac:dyDescent="0.2"/>
  <cols>
    <col min="1" max="16384" width="11.42578125" style="38"/>
  </cols>
  <sheetData>
    <row r="11" spans="1:1" ht="14.25" x14ac:dyDescent="0.25">
      <c r="A11" s="8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85725</xdr:rowOff>
                  </from>
                  <to>
                    <xdr:col>1</xdr:col>
                    <xdr:colOff>466725</xdr:colOff>
                    <xdr:row>3</xdr:row>
                    <xdr:rowOff>95250</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466725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RowHeight="12.75" x14ac:dyDescent="0.2"/>
  <cols>
    <col min="1" max="16384" width="11.42578125" style="78"/>
  </cols>
  <sheetData>
    <row r="1" spans="3:12" ht="18.75" customHeight="1" x14ac:dyDescent="0.2">
      <c r="C1" s="110" t="s">
        <v>116</v>
      </c>
      <c r="D1" s="111"/>
      <c r="E1" s="111"/>
      <c r="F1" s="111"/>
      <c r="G1" s="111"/>
      <c r="H1" s="111"/>
      <c r="I1" s="111"/>
      <c r="J1" s="111"/>
      <c r="K1" s="111"/>
      <c r="L1" s="112"/>
    </row>
    <row r="2" spans="3:12" ht="18.75" customHeight="1" x14ac:dyDescent="0.2">
      <c r="C2" s="113"/>
      <c r="D2" s="114"/>
      <c r="E2" s="114"/>
      <c r="F2" s="114"/>
      <c r="G2" s="114"/>
      <c r="H2" s="114"/>
      <c r="I2" s="114"/>
      <c r="J2" s="114"/>
      <c r="K2" s="114"/>
      <c r="L2" s="115"/>
    </row>
    <row r="3" spans="3:12" ht="18.75" customHeight="1" x14ac:dyDescent="0.2">
      <c r="C3" s="113"/>
      <c r="D3" s="114"/>
      <c r="E3" s="114"/>
      <c r="F3" s="114"/>
      <c r="G3" s="114"/>
      <c r="H3" s="114"/>
      <c r="I3" s="114"/>
      <c r="J3" s="114"/>
      <c r="K3" s="114"/>
      <c r="L3" s="115"/>
    </row>
    <row r="4" spans="3:12" ht="18.75" customHeight="1" x14ac:dyDescent="0.2">
      <c r="C4" s="116" t="s">
        <v>117</v>
      </c>
      <c r="D4" s="117"/>
      <c r="E4" s="117"/>
      <c r="F4" s="117"/>
      <c r="G4" s="117"/>
      <c r="H4" s="117"/>
      <c r="I4" s="117"/>
      <c r="J4" s="117"/>
      <c r="K4" s="117"/>
      <c r="L4" s="118"/>
    </row>
    <row r="5" spans="3:12" ht="18.75" customHeight="1" x14ac:dyDescent="0.2">
      <c r="C5" s="125" t="s">
        <v>118</v>
      </c>
      <c r="D5" s="123"/>
      <c r="E5" s="123"/>
      <c r="F5" s="123"/>
      <c r="G5" s="123"/>
      <c r="H5" s="123"/>
      <c r="I5" s="123"/>
      <c r="J5" s="123"/>
      <c r="K5" s="123"/>
      <c r="L5" s="124"/>
    </row>
    <row r="6" spans="3:12" ht="18.75" customHeight="1" x14ac:dyDescent="0.2">
      <c r="C6" s="125"/>
      <c r="D6" s="123"/>
      <c r="E6" s="123"/>
      <c r="F6" s="123"/>
      <c r="G6" s="123"/>
      <c r="H6" s="123"/>
      <c r="I6" s="123"/>
      <c r="J6" s="123"/>
      <c r="K6" s="123"/>
      <c r="L6" s="124"/>
    </row>
    <row r="7" spans="3:12" ht="18.75" customHeight="1" x14ac:dyDescent="0.2">
      <c r="C7" s="116" t="s">
        <v>119</v>
      </c>
      <c r="D7" s="117"/>
      <c r="E7" s="117"/>
      <c r="F7" s="117"/>
      <c r="G7" s="117"/>
      <c r="H7" s="117"/>
      <c r="I7" s="117"/>
      <c r="J7" s="117"/>
      <c r="K7" s="117"/>
      <c r="L7" s="118"/>
    </row>
    <row r="8" spans="3:12" ht="18.75" customHeight="1" x14ac:dyDescent="0.2">
      <c r="C8" s="81"/>
      <c r="D8" s="117" t="s">
        <v>120</v>
      </c>
      <c r="E8" s="117"/>
      <c r="F8" s="117"/>
      <c r="G8" s="117"/>
      <c r="H8" s="117"/>
      <c r="I8" s="117"/>
      <c r="J8" s="117"/>
      <c r="K8" s="117"/>
      <c r="L8" s="118"/>
    </row>
    <row r="9" spans="3:12" ht="18.75" customHeight="1" x14ac:dyDescent="0.2">
      <c r="C9" s="81"/>
      <c r="D9" s="117" t="s">
        <v>121</v>
      </c>
      <c r="E9" s="117"/>
      <c r="F9" s="117"/>
      <c r="G9" s="117"/>
      <c r="H9" s="117"/>
      <c r="I9" s="117"/>
      <c r="J9" s="117"/>
      <c r="K9" s="117"/>
      <c r="L9" s="118"/>
    </row>
    <row r="10" spans="3:12" ht="18.75" customHeight="1" x14ac:dyDescent="0.2">
      <c r="C10" s="81"/>
      <c r="D10" s="82"/>
      <c r="E10" s="128" t="s">
        <v>122</v>
      </c>
      <c r="F10" s="129"/>
      <c r="G10" s="129"/>
      <c r="H10" s="130"/>
      <c r="I10" s="82"/>
      <c r="J10" s="82"/>
      <c r="K10" s="82"/>
      <c r="L10" s="83"/>
    </row>
    <row r="11" spans="3:12" ht="18.75" customHeight="1" x14ac:dyDescent="0.2">
      <c r="C11" s="81"/>
      <c r="D11" s="82"/>
      <c r="E11" s="82"/>
      <c r="F11" s="82"/>
      <c r="G11" s="126" t="s">
        <v>123</v>
      </c>
      <c r="H11" s="126"/>
      <c r="I11" s="126"/>
      <c r="J11" s="126"/>
      <c r="K11" s="126"/>
      <c r="L11" s="127"/>
    </row>
    <row r="12" spans="3:12" ht="18.75" customHeight="1" x14ac:dyDescent="0.2">
      <c r="C12" s="81"/>
      <c r="D12" s="82"/>
      <c r="E12" s="82"/>
      <c r="F12" s="82"/>
      <c r="G12" s="126"/>
      <c r="H12" s="126"/>
      <c r="I12" s="126"/>
      <c r="J12" s="126"/>
      <c r="K12" s="126"/>
      <c r="L12" s="127"/>
    </row>
    <row r="13" spans="3:12" ht="18.75" customHeight="1" x14ac:dyDescent="0.2">
      <c r="C13" s="81"/>
      <c r="D13" s="123" t="s">
        <v>125</v>
      </c>
      <c r="E13" s="123"/>
      <c r="F13" s="123"/>
      <c r="G13" s="123"/>
      <c r="H13" s="123"/>
      <c r="I13" s="123"/>
      <c r="J13" s="123"/>
      <c r="K13" s="123"/>
      <c r="L13" s="124"/>
    </row>
    <row r="14" spans="3:12" ht="18.75" customHeight="1" x14ac:dyDescent="0.2">
      <c r="C14" s="81"/>
      <c r="D14" s="123"/>
      <c r="E14" s="123"/>
      <c r="F14" s="123"/>
      <c r="G14" s="123"/>
      <c r="H14" s="123"/>
      <c r="I14" s="123"/>
      <c r="J14" s="123"/>
      <c r="K14" s="123"/>
      <c r="L14" s="124"/>
    </row>
    <row r="15" spans="3:12" ht="18.75" customHeight="1" x14ac:dyDescent="0.2">
      <c r="C15" s="81"/>
      <c r="D15" s="119" t="s">
        <v>124</v>
      </c>
      <c r="E15" s="119"/>
      <c r="F15" s="119"/>
      <c r="G15" s="119"/>
      <c r="H15" s="119"/>
      <c r="I15" s="119"/>
      <c r="J15" s="119"/>
      <c r="K15" s="119"/>
      <c r="L15" s="120"/>
    </row>
    <row r="16" spans="3:12" ht="18.75" customHeight="1" x14ac:dyDescent="0.3">
      <c r="C16" s="84"/>
      <c r="D16" s="119"/>
      <c r="E16" s="119"/>
      <c r="F16" s="119"/>
      <c r="G16" s="119"/>
      <c r="H16" s="119"/>
      <c r="I16" s="119"/>
      <c r="J16" s="119"/>
      <c r="K16" s="119"/>
      <c r="L16" s="120"/>
    </row>
    <row r="17" spans="3:12" ht="18.75" customHeight="1" x14ac:dyDescent="0.25">
      <c r="C17" s="85"/>
      <c r="D17" s="119"/>
      <c r="E17" s="119"/>
      <c r="F17" s="119"/>
      <c r="G17" s="119"/>
      <c r="H17" s="119"/>
      <c r="I17" s="119"/>
      <c r="J17" s="119"/>
      <c r="K17" s="119"/>
      <c r="L17" s="120"/>
    </row>
    <row r="18" spans="3:12" ht="18.75" customHeight="1" thickBot="1" x14ac:dyDescent="0.3">
      <c r="C18" s="86"/>
      <c r="D18" s="121"/>
      <c r="E18" s="121"/>
      <c r="F18" s="121"/>
      <c r="G18" s="121"/>
      <c r="H18" s="121"/>
      <c r="I18" s="121"/>
      <c r="J18" s="121"/>
      <c r="K18" s="121"/>
      <c r="L18" s="122"/>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95250</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95250</xdr:colOff>
                    <xdr:row>2</xdr:row>
                    <xdr:rowOff>209550</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B1:AA38"/>
  <sheetViews>
    <sheetView showGridLines="0" tabSelected="1" workbookViewId="0"/>
  </sheetViews>
  <sheetFormatPr baseColWidth="10" defaultRowHeight="15" x14ac:dyDescent="0.25"/>
  <cols>
    <col min="1" max="1" width="3.42578125" style="41" customWidth="1"/>
    <col min="2" max="2" width="22" style="41" customWidth="1"/>
    <col min="3" max="4" width="3.5703125" style="41" customWidth="1"/>
    <col min="5" max="5" width="18.5703125" style="41" customWidth="1"/>
    <col min="6" max="6" width="22.42578125" style="41" customWidth="1"/>
    <col min="7" max="7" width="16.42578125" style="41" customWidth="1"/>
    <col min="8" max="8" width="17.28515625" style="41" customWidth="1"/>
    <col min="9" max="9" width="17.85546875" style="41" customWidth="1"/>
    <col min="10" max="10" width="4.42578125" style="41" customWidth="1"/>
    <col min="11" max="11" width="1.85546875" style="41" customWidth="1"/>
    <col min="12" max="12" width="1.5703125" style="41" customWidth="1"/>
    <col min="13" max="13" width="21.85546875" style="57" customWidth="1"/>
    <col min="14" max="14" width="19.28515625" style="57" bestFit="1" customWidth="1"/>
    <col min="15" max="15" width="9.7109375" style="41" customWidth="1"/>
    <col min="16" max="16384" width="11.42578125" style="41"/>
  </cols>
  <sheetData>
    <row r="1" spans="2:27" ht="15.75" thickBot="1" x14ac:dyDescent="0.3">
      <c r="E1" s="42" t="s">
        <v>69</v>
      </c>
      <c r="F1" s="43" t="s">
        <v>126</v>
      </c>
      <c r="G1" s="93" t="s">
        <v>86</v>
      </c>
      <c r="H1" s="94" t="str">
        <f>IF($F1="(Plusieurs éléments)","",IF($F1="(vide)","",IF($F1="(Tous)","",VLOOKUP($F1,$M$3:$N$23,2,FALSE))))</f>
        <v/>
      </c>
      <c r="M1" s="137" t="s">
        <v>91</v>
      </c>
      <c r="N1" s="137"/>
      <c r="O1" s="137"/>
      <c r="Z1" s="109" t="b">
        <v>1</v>
      </c>
      <c r="AA1" s="108"/>
    </row>
    <row r="2" spans="2:27" ht="15.75" thickTop="1" x14ac:dyDescent="0.25">
      <c r="B2" s="39" t="s">
        <v>80</v>
      </c>
      <c r="E2" s="44" t="s">
        <v>89</v>
      </c>
      <c r="F2" s="44"/>
      <c r="G2" s="43"/>
      <c r="M2" s="138"/>
      <c r="N2" s="138"/>
      <c r="O2" s="138"/>
    </row>
    <row r="3" spans="2:27" ht="30.75" thickBot="1" x14ac:dyDescent="0.3">
      <c r="B3" s="40" t="s">
        <v>127</v>
      </c>
      <c r="E3" s="45" t="s">
        <v>87</v>
      </c>
      <c r="F3" s="45" t="s">
        <v>83</v>
      </c>
      <c r="G3" s="46" t="s">
        <v>81</v>
      </c>
      <c r="H3" s="46" t="s">
        <v>82</v>
      </c>
      <c r="I3" s="69" t="s">
        <v>84</v>
      </c>
      <c r="J3"/>
      <c r="M3" s="47" t="s">
        <v>85</v>
      </c>
      <c r="N3" s="63" t="s">
        <v>90</v>
      </c>
      <c r="O3" s="48" t="s">
        <v>111</v>
      </c>
    </row>
    <row r="4" spans="2:27" ht="15.75" thickTop="1" x14ac:dyDescent="0.25">
      <c r="E4" s="88"/>
      <c r="F4" s="89"/>
      <c r="G4" s="90"/>
      <c r="H4" s="91"/>
      <c r="I4" s="92" t="str">
        <f>IF(GETPIVOTDATA("Kilométrage actuel de la voiture",$E$3)&gt;0,GETPIVOTDATA("Conso Totale (L)",$E$3)*100/GETPIVOTDATA("Kilométrage total",$E$3),"")</f>
        <v/>
      </c>
      <c r="J4"/>
      <c r="M4" s="49"/>
      <c r="N4" s="64"/>
      <c r="O4" s="50"/>
    </row>
    <row r="5" spans="2:27" x14ac:dyDescent="0.25">
      <c r="B5" s="41" t="s">
        <v>88</v>
      </c>
      <c r="M5" s="51"/>
      <c r="N5" s="65"/>
      <c r="O5" s="52"/>
    </row>
    <row r="6" spans="2:27" x14ac:dyDescent="0.25">
      <c r="E6" s="44" t="s">
        <v>96</v>
      </c>
      <c r="M6" s="51"/>
      <c r="N6" s="65"/>
      <c r="O6" s="52"/>
    </row>
    <row r="7" spans="2:27" x14ac:dyDescent="0.25">
      <c r="E7" s="135" t="s">
        <v>95</v>
      </c>
      <c r="F7" s="136"/>
      <c r="G7" s="131" t="s">
        <v>92</v>
      </c>
      <c r="H7" s="132"/>
      <c r="M7" s="53"/>
      <c r="N7" s="66"/>
      <c r="O7" s="54"/>
    </row>
    <row r="8" spans="2:27" x14ac:dyDescent="0.25">
      <c r="E8" s="133" t="s">
        <v>88</v>
      </c>
      <c r="F8" s="134"/>
      <c r="G8" s="58" t="s">
        <v>93</v>
      </c>
      <c r="H8" s="87" t="s">
        <v>88</v>
      </c>
      <c r="M8" s="53"/>
      <c r="N8" s="66"/>
      <c r="O8" s="54"/>
    </row>
    <row r="9" spans="2:27" x14ac:dyDescent="0.25">
      <c r="E9" s="133"/>
      <c r="F9" s="134"/>
      <c r="G9" s="59" t="s">
        <v>94</v>
      </c>
      <c r="H9" s="87" t="s">
        <v>88</v>
      </c>
      <c r="M9" s="53"/>
      <c r="N9" s="66"/>
      <c r="O9" s="54"/>
    </row>
    <row r="10" spans="2:27" x14ac:dyDescent="0.25">
      <c r="M10" s="53"/>
      <c r="N10" s="66"/>
      <c r="O10" s="54"/>
    </row>
    <row r="11" spans="2:27" x14ac:dyDescent="0.25">
      <c r="M11" s="53"/>
      <c r="N11" s="66"/>
      <c r="O11" s="54"/>
    </row>
    <row r="12" spans="2:27" x14ac:dyDescent="0.25">
      <c r="M12" s="53"/>
      <c r="N12" s="66"/>
      <c r="O12" s="54"/>
    </row>
    <row r="13" spans="2:27" x14ac:dyDescent="0.25">
      <c r="M13" s="53"/>
      <c r="N13" s="66"/>
      <c r="O13" s="54"/>
    </row>
    <row r="14" spans="2:27" ht="16.5" x14ac:dyDescent="0.3">
      <c r="F14" s="79"/>
      <c r="M14" s="53"/>
      <c r="N14" s="66"/>
      <c r="O14" s="54"/>
    </row>
    <row r="15" spans="2:27" x14ac:dyDescent="0.25">
      <c r="M15" s="53"/>
      <c r="N15" s="66"/>
      <c r="O15" s="54"/>
    </row>
    <row r="16" spans="2:27" x14ac:dyDescent="0.25">
      <c r="M16" s="53"/>
      <c r="N16" s="66"/>
      <c r="O16" s="54"/>
    </row>
    <row r="17" spans="2:15" x14ac:dyDescent="0.25">
      <c r="M17" s="53"/>
      <c r="N17" s="66"/>
      <c r="O17" s="54"/>
    </row>
    <row r="18" spans="2:15" x14ac:dyDescent="0.25">
      <c r="M18" s="53"/>
      <c r="N18" s="66"/>
      <c r="O18" s="54"/>
    </row>
    <row r="19" spans="2:15" ht="16.5" x14ac:dyDescent="0.3">
      <c r="F19" s="79"/>
      <c r="M19" s="53"/>
      <c r="N19" s="66"/>
      <c r="O19" s="54"/>
    </row>
    <row r="20" spans="2:15" x14ac:dyDescent="0.25">
      <c r="M20" s="53"/>
      <c r="N20" s="66"/>
      <c r="O20" s="54"/>
    </row>
    <row r="21" spans="2:15" x14ac:dyDescent="0.25">
      <c r="B21" s="41" t="s">
        <v>88</v>
      </c>
      <c r="M21" s="53"/>
      <c r="N21" s="66"/>
      <c r="O21" s="54"/>
    </row>
    <row r="22" spans="2:15" x14ac:dyDescent="0.25">
      <c r="M22" s="53"/>
      <c r="N22" s="66"/>
      <c r="O22" s="54"/>
    </row>
    <row r="23" spans="2:15" x14ac:dyDescent="0.25">
      <c r="M23" s="55"/>
      <c r="N23" s="67"/>
      <c r="O23" s="56"/>
    </row>
    <row r="37" spans="6:7" x14ac:dyDescent="0.25">
      <c r="G37" s="41" t="s">
        <v>88</v>
      </c>
    </row>
    <row r="38" spans="6:7" x14ac:dyDescent="0.25">
      <c r="F38" s="41" t="s">
        <v>88</v>
      </c>
    </row>
  </sheetData>
  <dataConsolidate/>
  <mergeCells count="4">
    <mergeCell ref="G7:H7"/>
    <mergeCell ref="E8:F9"/>
    <mergeCell ref="E7:F7"/>
    <mergeCell ref="M1:O2"/>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133350</xdr:rowOff>
                  </from>
                  <to>
                    <xdr:col>2</xdr:col>
                    <xdr:colOff>38100</xdr:colOff>
                    <xdr:row>6</xdr:row>
                    <xdr:rowOff>161925</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7</xdr:row>
                    <xdr:rowOff>47625</xdr:rowOff>
                  </from>
                  <to>
                    <xdr:col>2</xdr:col>
                    <xdr:colOff>38100</xdr:colOff>
                    <xdr:row>10</xdr:row>
                    <xdr:rowOff>85725</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10</xdr:row>
                    <xdr:rowOff>161925</xdr:rowOff>
                  </from>
                  <to>
                    <xdr:col>2</xdr:col>
                    <xdr:colOff>38100</xdr:colOff>
                    <xdr:row>13</xdr:row>
                    <xdr:rowOff>200025</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3</xdr:col>
                    <xdr:colOff>66675</xdr:colOff>
                    <xdr:row>10</xdr:row>
                    <xdr:rowOff>142875</xdr:rowOff>
                  </from>
                  <to>
                    <xdr:col>5</xdr:col>
                    <xdr:colOff>209550</xdr:colOff>
                    <xdr:row>13</xdr:row>
                    <xdr:rowOff>190500</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14</xdr:row>
                    <xdr:rowOff>47625</xdr:rowOff>
                  </from>
                  <to>
                    <xdr:col>2</xdr:col>
                    <xdr:colOff>38100</xdr:colOff>
                    <xdr:row>17</xdr:row>
                    <xdr:rowOff>104775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3</xdr:col>
                    <xdr:colOff>66675</xdr:colOff>
                    <xdr:row>14</xdr:row>
                    <xdr:rowOff>47625</xdr:rowOff>
                  </from>
                  <to>
                    <xdr:col>5</xdr:col>
                    <xdr:colOff>209550</xdr:colOff>
                    <xdr:row>17</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BN3799"/>
  <sheetViews>
    <sheetView zoomScaleNormal="100" workbookViewId="0">
      <pane ySplit="2" topLeftCell="A3" activePane="bottomLeft" state="frozen"/>
      <selection pane="bottomLeft" activeCell="K9" sqref="K9"/>
    </sheetView>
  </sheetViews>
  <sheetFormatPr baseColWidth="10" defaultRowHeight="12.75" x14ac:dyDescent="0.2"/>
  <cols>
    <col min="1" max="1" width="17.28515625" style="23" customWidth="1"/>
    <col min="2" max="2" width="11.7109375" style="1" bestFit="1" customWidth="1"/>
    <col min="3" max="4" width="15.7109375" style="19" customWidth="1"/>
    <col min="5" max="5" width="10.7109375" style="20" customWidth="1"/>
    <col min="6" max="6" width="10.85546875" style="16" customWidth="1"/>
    <col min="7" max="7" width="9.85546875" style="16" customWidth="1"/>
    <col min="8" max="8" width="8.5703125" style="17" customWidth="1"/>
    <col min="9" max="9" width="9.85546875" style="18" customWidth="1"/>
    <col min="10" max="10" width="19.5703125" style="74" bestFit="1" customWidth="1"/>
    <col min="11" max="11" width="18.5703125" style="74" bestFit="1" customWidth="1"/>
    <col min="12" max="12" width="44.7109375" style="74" customWidth="1"/>
    <col min="13" max="13" width="19.5703125" style="96" bestFit="1" customWidth="1"/>
    <col min="14" max="14" width="18.5703125" style="97" bestFit="1" customWidth="1"/>
    <col min="15" max="15" width="44.7109375" style="75" customWidth="1"/>
    <col min="16" max="16" width="14.140625" style="22" customWidth="1"/>
    <col min="17" max="17" width="13.7109375" style="21" customWidth="1"/>
    <col min="18" max="19" width="11.42578125" style="62" hidden="1" customWidth="1"/>
    <col min="20" max="21" width="21.5703125" style="98" hidden="1" customWidth="1"/>
    <col min="22" max="22" width="37.140625" style="99" hidden="1" customWidth="1"/>
    <col min="23" max="24" width="11.42578125" style="62" hidden="1" customWidth="1"/>
    <col min="25" max="25" width="13.140625" style="62" hidden="1" customWidth="1"/>
    <col min="26" max="33" width="11.42578125" style="62" hidden="1" customWidth="1"/>
    <col min="34" max="34" width="11.28515625" style="62" hidden="1" customWidth="1"/>
    <col min="35" max="35" width="11.42578125" style="62" hidden="1" customWidth="1"/>
    <col min="36" max="66" width="11.42578125" style="76"/>
    <col min="67" max="16384" width="11.42578125" style="1"/>
  </cols>
  <sheetData>
    <row r="1" spans="1:66" ht="32.25" customHeight="1" x14ac:dyDescent="0.2">
      <c r="A1" s="27"/>
      <c r="B1" s="27"/>
      <c r="C1" s="27"/>
      <c r="D1" s="27"/>
      <c r="E1" s="36" t="s">
        <v>68</v>
      </c>
      <c r="F1" s="24"/>
      <c r="G1" s="37"/>
      <c r="H1" s="26"/>
      <c r="I1" s="24"/>
      <c r="J1" s="26"/>
      <c r="K1" s="26"/>
      <c r="L1" s="25"/>
      <c r="M1" s="37"/>
      <c r="N1" s="73"/>
      <c r="O1" s="30"/>
      <c r="P1" s="31"/>
      <c r="Q1" s="32"/>
      <c r="R1" s="139" t="s">
        <v>108</v>
      </c>
      <c r="S1" s="140"/>
      <c r="T1" s="141"/>
      <c r="U1" s="141"/>
      <c r="V1" s="141"/>
      <c r="W1" s="140"/>
      <c r="X1" s="140"/>
      <c r="Y1" s="140"/>
      <c r="Z1" s="140"/>
      <c r="AA1" s="140"/>
      <c r="AB1" s="140"/>
      <c r="AC1" s="140"/>
      <c r="AD1" s="140"/>
      <c r="AE1" s="140"/>
      <c r="AF1" s="142"/>
      <c r="AG1" s="68"/>
      <c r="AH1" s="70"/>
      <c r="AI1" s="70"/>
    </row>
    <row r="2" spans="1:66" s="15" customFormat="1" ht="31.5" customHeight="1" x14ac:dyDescent="0.2">
      <c r="A2" s="33" t="s">
        <v>69</v>
      </c>
      <c r="B2" s="33" t="s">
        <v>54</v>
      </c>
      <c r="C2" s="34" t="s">
        <v>56</v>
      </c>
      <c r="D2" s="34" t="s">
        <v>57</v>
      </c>
      <c r="E2" s="28" t="s">
        <v>66</v>
      </c>
      <c r="F2" s="29" t="s">
        <v>71</v>
      </c>
      <c r="G2" s="29" t="s">
        <v>70</v>
      </c>
      <c r="H2" s="29" t="s">
        <v>73</v>
      </c>
      <c r="I2" s="29" t="s">
        <v>72</v>
      </c>
      <c r="J2" s="95" t="s">
        <v>75</v>
      </c>
      <c r="K2" s="95" t="s">
        <v>76</v>
      </c>
      <c r="L2" s="35" t="s">
        <v>74</v>
      </c>
      <c r="M2" s="72" t="s">
        <v>77</v>
      </c>
      <c r="N2" s="72" t="s">
        <v>78</v>
      </c>
      <c r="O2" s="35" t="s">
        <v>79</v>
      </c>
      <c r="P2" s="29" t="s">
        <v>58</v>
      </c>
      <c r="Q2" s="29" t="s">
        <v>67</v>
      </c>
      <c r="R2" s="60" t="s">
        <v>97</v>
      </c>
      <c r="S2" s="61" t="s">
        <v>98</v>
      </c>
      <c r="T2" s="61" t="s">
        <v>115</v>
      </c>
      <c r="U2" s="61" t="s">
        <v>114</v>
      </c>
      <c r="V2" s="61" t="s">
        <v>99</v>
      </c>
      <c r="W2" s="61" t="s">
        <v>100</v>
      </c>
      <c r="X2" s="61" t="s">
        <v>101</v>
      </c>
      <c r="Y2" s="61" t="s">
        <v>102</v>
      </c>
      <c r="Z2" s="61" t="s">
        <v>103</v>
      </c>
      <c r="AA2" s="61" t="s">
        <v>104</v>
      </c>
      <c r="AB2" s="61" t="s">
        <v>105</v>
      </c>
      <c r="AC2" s="61" t="s">
        <v>106</v>
      </c>
      <c r="AD2" s="61" t="s">
        <v>107</v>
      </c>
      <c r="AE2" s="61" t="s">
        <v>109</v>
      </c>
      <c r="AF2" s="61" t="s">
        <v>110</v>
      </c>
      <c r="AG2" s="61" t="s">
        <v>111</v>
      </c>
      <c r="AH2" s="71" t="s">
        <v>112</v>
      </c>
      <c r="AI2" s="71" t="s">
        <v>113</v>
      </c>
      <c r="AJ2" s="77"/>
      <c r="AK2" s="77"/>
      <c r="AL2" s="77"/>
      <c r="AM2" s="77"/>
      <c r="AN2" s="77"/>
      <c r="AO2" s="77"/>
      <c r="AP2" s="77"/>
      <c r="AQ2" s="77"/>
      <c r="AR2" s="77"/>
      <c r="AS2" s="77"/>
      <c r="AT2" s="77"/>
      <c r="AU2" s="77"/>
      <c r="AV2" s="77"/>
      <c r="AW2" s="77"/>
      <c r="AX2" s="77"/>
      <c r="AY2" s="77"/>
      <c r="AZ2" s="77"/>
      <c r="BA2" s="77"/>
      <c r="BB2" s="77"/>
      <c r="BC2" s="77"/>
      <c r="BD2" s="77"/>
      <c r="BE2" s="77"/>
      <c r="BF2" s="77"/>
      <c r="BG2" s="77"/>
      <c r="BH2" s="77"/>
      <c r="BI2" s="77"/>
      <c r="BJ2" s="77"/>
      <c r="BK2" s="77"/>
      <c r="BL2" s="77"/>
      <c r="BM2" s="77"/>
      <c r="BN2" s="77"/>
    </row>
    <row r="853" spans="22:22" x14ac:dyDescent="0.2">
      <c r="V853" s="62"/>
    </row>
    <row r="854" spans="22:22" x14ac:dyDescent="0.2">
      <c r="V854" s="62"/>
    </row>
    <row r="855" spans="22:22" x14ac:dyDescent="0.2">
      <c r="V855" s="62"/>
    </row>
    <row r="856" spans="22:22" x14ac:dyDescent="0.2">
      <c r="V856" s="62"/>
    </row>
    <row r="857" spans="22:22" x14ac:dyDescent="0.2">
      <c r="V857" s="62"/>
    </row>
    <row r="858" spans="22:22" x14ac:dyDescent="0.2">
      <c r="V858" s="62"/>
    </row>
    <row r="859" spans="22:22" x14ac:dyDescent="0.2">
      <c r="V859" s="62"/>
    </row>
    <row r="860" spans="22:22" x14ac:dyDescent="0.2">
      <c r="V860" s="62"/>
    </row>
    <row r="861" spans="22:22" x14ac:dyDescent="0.2">
      <c r="V861" s="62"/>
    </row>
    <row r="862" spans="22:22" x14ac:dyDescent="0.2">
      <c r="V862" s="62"/>
    </row>
    <row r="863" spans="22:22" x14ac:dyDescent="0.2">
      <c r="V863" s="62"/>
    </row>
    <row r="864" spans="22:22" x14ac:dyDescent="0.2">
      <c r="V864" s="62"/>
    </row>
    <row r="865" spans="22:22" x14ac:dyDescent="0.2">
      <c r="V865" s="62"/>
    </row>
    <row r="866" spans="22:22" x14ac:dyDescent="0.2">
      <c r="V866" s="62"/>
    </row>
    <row r="867" spans="22:22" x14ac:dyDescent="0.2">
      <c r="V867" s="62"/>
    </row>
    <row r="868" spans="22:22" x14ac:dyDescent="0.2">
      <c r="V868" s="62"/>
    </row>
    <row r="869" spans="22:22" x14ac:dyDescent="0.2">
      <c r="V869" s="62"/>
    </row>
    <row r="870" spans="22:22" x14ac:dyDescent="0.2">
      <c r="V870" s="62"/>
    </row>
    <row r="871" spans="22:22" x14ac:dyDescent="0.2">
      <c r="V871" s="62"/>
    </row>
    <row r="872" spans="22:22" x14ac:dyDescent="0.2">
      <c r="V872" s="62"/>
    </row>
    <row r="873" spans="22:22" x14ac:dyDescent="0.2">
      <c r="V873" s="62"/>
    </row>
    <row r="874" spans="22:22" x14ac:dyDescent="0.2">
      <c r="V874" s="62"/>
    </row>
    <row r="875" spans="22:22" x14ac:dyDescent="0.2">
      <c r="V875" s="62"/>
    </row>
    <row r="876" spans="22:22" x14ac:dyDescent="0.2">
      <c r="V876" s="62"/>
    </row>
    <row r="877" spans="22:22" x14ac:dyDescent="0.2">
      <c r="V877" s="62"/>
    </row>
    <row r="878" spans="22:22" x14ac:dyDescent="0.2">
      <c r="V878" s="62"/>
    </row>
    <row r="879" spans="22:22" x14ac:dyDescent="0.2">
      <c r="V879" s="62"/>
    </row>
    <row r="880" spans="22:22" x14ac:dyDescent="0.2">
      <c r="V880" s="62"/>
    </row>
    <row r="881" spans="22:22" x14ac:dyDescent="0.2">
      <c r="V881" s="62"/>
    </row>
    <row r="882" spans="22:22" x14ac:dyDescent="0.2">
      <c r="V882" s="62"/>
    </row>
    <row r="883" spans="22:22" x14ac:dyDescent="0.2">
      <c r="V883" s="62"/>
    </row>
    <row r="884" spans="22:22" x14ac:dyDescent="0.2">
      <c r="V884" s="62"/>
    </row>
    <row r="885" spans="22:22" x14ac:dyDescent="0.2">
      <c r="V885" s="62"/>
    </row>
    <row r="886" spans="22:22" x14ac:dyDescent="0.2">
      <c r="V886" s="62"/>
    </row>
    <row r="887" spans="22:22" x14ac:dyDescent="0.2">
      <c r="V887" s="62"/>
    </row>
    <row r="888" spans="22:22" x14ac:dyDescent="0.2">
      <c r="V888" s="62"/>
    </row>
    <row r="889" spans="22:22" x14ac:dyDescent="0.2">
      <c r="V889" s="62"/>
    </row>
    <row r="890" spans="22:22" x14ac:dyDescent="0.2">
      <c r="V890" s="62"/>
    </row>
    <row r="891" spans="22:22" x14ac:dyDescent="0.2">
      <c r="V891" s="62"/>
    </row>
    <row r="892" spans="22:22" x14ac:dyDescent="0.2">
      <c r="V892" s="62"/>
    </row>
    <row r="893" spans="22:22" x14ac:dyDescent="0.2">
      <c r="V893" s="62"/>
    </row>
    <row r="894" spans="22:22" x14ac:dyDescent="0.2">
      <c r="V894" s="62"/>
    </row>
    <row r="895" spans="22:22" x14ac:dyDescent="0.2">
      <c r="V895" s="62"/>
    </row>
    <row r="896" spans="22:22" x14ac:dyDescent="0.2">
      <c r="V896" s="62"/>
    </row>
    <row r="897" spans="22:22" x14ac:dyDescent="0.2">
      <c r="V897" s="62"/>
    </row>
    <row r="898" spans="22:22" x14ac:dyDescent="0.2">
      <c r="V898" s="62"/>
    </row>
    <row r="899" spans="22:22" x14ac:dyDescent="0.2">
      <c r="V899" s="62"/>
    </row>
    <row r="900" spans="22:22" x14ac:dyDescent="0.2">
      <c r="V900" s="62"/>
    </row>
    <row r="901" spans="22:22" x14ac:dyDescent="0.2">
      <c r="V901" s="62"/>
    </row>
    <row r="902" spans="22:22" x14ac:dyDescent="0.2">
      <c r="V902" s="62"/>
    </row>
    <row r="903" spans="22:22" x14ac:dyDescent="0.2">
      <c r="V903" s="62"/>
    </row>
    <row r="904" spans="22:22" x14ac:dyDescent="0.2">
      <c r="V904" s="62"/>
    </row>
    <row r="905" spans="22:22" x14ac:dyDescent="0.2">
      <c r="V905" s="62"/>
    </row>
    <row r="906" spans="22:22" x14ac:dyDescent="0.2">
      <c r="V906" s="62"/>
    </row>
    <row r="907" spans="22:22" x14ac:dyDescent="0.2">
      <c r="V907" s="62"/>
    </row>
    <row r="908" spans="22:22" x14ac:dyDescent="0.2">
      <c r="V908" s="62"/>
    </row>
    <row r="909" spans="22:22" x14ac:dyDescent="0.2">
      <c r="V909" s="62"/>
    </row>
    <row r="910" spans="22:22" x14ac:dyDescent="0.2">
      <c r="V910" s="62"/>
    </row>
    <row r="911" spans="22:22" x14ac:dyDescent="0.2">
      <c r="V911" s="62"/>
    </row>
    <row r="912" spans="22:22" x14ac:dyDescent="0.2">
      <c r="V912" s="62"/>
    </row>
    <row r="913" spans="22:22" x14ac:dyDescent="0.2">
      <c r="V913" s="62"/>
    </row>
    <row r="914" spans="22:22" x14ac:dyDescent="0.2">
      <c r="V914" s="62"/>
    </row>
    <row r="915" spans="22:22" x14ac:dyDescent="0.2">
      <c r="V915" s="62"/>
    </row>
    <row r="916" spans="22:22" x14ac:dyDescent="0.2">
      <c r="V916" s="62"/>
    </row>
    <row r="917" spans="22:22" x14ac:dyDescent="0.2">
      <c r="V917" s="62"/>
    </row>
    <row r="918" spans="22:22" x14ac:dyDescent="0.2">
      <c r="V918" s="62"/>
    </row>
    <row r="919" spans="22:22" x14ac:dyDescent="0.2">
      <c r="V919" s="62"/>
    </row>
    <row r="920" spans="22:22" x14ac:dyDescent="0.2">
      <c r="V920" s="62"/>
    </row>
    <row r="921" spans="22:22" x14ac:dyDescent="0.2">
      <c r="V921" s="62"/>
    </row>
    <row r="922" spans="22:22" x14ac:dyDescent="0.2">
      <c r="V922" s="62"/>
    </row>
    <row r="923" spans="22:22" x14ac:dyDescent="0.2">
      <c r="V923" s="62"/>
    </row>
    <row r="924" spans="22:22" x14ac:dyDescent="0.2">
      <c r="V924" s="62"/>
    </row>
    <row r="925" spans="22:22" x14ac:dyDescent="0.2">
      <c r="V925" s="62"/>
    </row>
    <row r="926" spans="22:22" x14ac:dyDescent="0.2">
      <c r="V926" s="62"/>
    </row>
    <row r="927" spans="22:22" x14ac:dyDescent="0.2">
      <c r="V927" s="62"/>
    </row>
    <row r="928" spans="22:22" x14ac:dyDescent="0.2">
      <c r="V928" s="62"/>
    </row>
    <row r="929" spans="22:22" x14ac:dyDescent="0.2">
      <c r="V929" s="62"/>
    </row>
    <row r="930" spans="22:22" x14ac:dyDescent="0.2">
      <c r="V930" s="62"/>
    </row>
    <row r="931" spans="22:22" x14ac:dyDescent="0.2">
      <c r="V931" s="62"/>
    </row>
    <row r="932" spans="22:22" x14ac:dyDescent="0.2">
      <c r="V932" s="62"/>
    </row>
    <row r="933" spans="22:22" x14ac:dyDescent="0.2">
      <c r="V933" s="62"/>
    </row>
    <row r="934" spans="22:22" x14ac:dyDescent="0.2">
      <c r="V934" s="62"/>
    </row>
    <row r="935" spans="22:22" x14ac:dyDescent="0.2">
      <c r="V935" s="62"/>
    </row>
    <row r="936" spans="22:22" x14ac:dyDescent="0.2">
      <c r="V936" s="62"/>
    </row>
    <row r="937" spans="22:22" x14ac:dyDescent="0.2">
      <c r="V937" s="62"/>
    </row>
    <row r="938" spans="22:22" x14ac:dyDescent="0.2">
      <c r="V938" s="62"/>
    </row>
    <row r="939" spans="22:22" x14ac:dyDescent="0.2">
      <c r="V939" s="62"/>
    </row>
    <row r="940" spans="22:22" x14ac:dyDescent="0.2">
      <c r="V940" s="62"/>
    </row>
    <row r="941" spans="22:22" x14ac:dyDescent="0.2">
      <c r="V941" s="62"/>
    </row>
    <row r="942" spans="22:22" x14ac:dyDescent="0.2">
      <c r="V942" s="62"/>
    </row>
    <row r="943" spans="22:22" x14ac:dyDescent="0.2">
      <c r="V943" s="62"/>
    </row>
    <row r="944" spans="22:22" x14ac:dyDescent="0.2">
      <c r="V944" s="62"/>
    </row>
    <row r="945" spans="22:22" x14ac:dyDescent="0.2">
      <c r="V945" s="62"/>
    </row>
    <row r="946" spans="22:22" x14ac:dyDescent="0.2">
      <c r="V946" s="62"/>
    </row>
    <row r="947" spans="22:22" x14ac:dyDescent="0.2">
      <c r="V947" s="62"/>
    </row>
    <row r="948" spans="22:22" x14ac:dyDescent="0.2">
      <c r="V948" s="62"/>
    </row>
    <row r="949" spans="22:22" x14ac:dyDescent="0.2">
      <c r="V949" s="62"/>
    </row>
    <row r="950" spans="22:22" x14ac:dyDescent="0.2">
      <c r="V950" s="62"/>
    </row>
    <row r="951" spans="22:22" x14ac:dyDescent="0.2">
      <c r="V951" s="62"/>
    </row>
    <row r="952" spans="22:22" x14ac:dyDescent="0.2">
      <c r="V952" s="62"/>
    </row>
    <row r="953" spans="22:22" x14ac:dyDescent="0.2">
      <c r="V953" s="62"/>
    </row>
    <row r="954" spans="22:22" x14ac:dyDescent="0.2">
      <c r="V954" s="62"/>
    </row>
    <row r="955" spans="22:22" x14ac:dyDescent="0.2">
      <c r="V955" s="62"/>
    </row>
    <row r="956" spans="22:22" x14ac:dyDescent="0.2">
      <c r="V956" s="62"/>
    </row>
    <row r="957" spans="22:22" x14ac:dyDescent="0.2">
      <c r="V957" s="62"/>
    </row>
    <row r="958" spans="22:22" x14ac:dyDescent="0.2">
      <c r="V958" s="62"/>
    </row>
    <row r="959" spans="22:22" x14ac:dyDescent="0.2">
      <c r="V959" s="62"/>
    </row>
    <row r="960" spans="22:22" x14ac:dyDescent="0.2">
      <c r="V960" s="62"/>
    </row>
    <row r="961" spans="22:22" x14ac:dyDescent="0.2">
      <c r="V961" s="62"/>
    </row>
    <row r="962" spans="22:22" x14ac:dyDescent="0.2">
      <c r="V962" s="62"/>
    </row>
    <row r="963" spans="22:22" x14ac:dyDescent="0.2">
      <c r="V963" s="62"/>
    </row>
    <row r="964" spans="22:22" x14ac:dyDescent="0.2">
      <c r="V964" s="62"/>
    </row>
    <row r="965" spans="22:22" x14ac:dyDescent="0.2">
      <c r="V965" s="62"/>
    </row>
    <row r="966" spans="22:22" x14ac:dyDescent="0.2">
      <c r="V966" s="62"/>
    </row>
    <row r="967" spans="22:22" x14ac:dyDescent="0.2">
      <c r="V967" s="62"/>
    </row>
    <row r="968" spans="22:22" x14ac:dyDescent="0.2">
      <c r="V968" s="62"/>
    </row>
    <row r="969" spans="22:22" x14ac:dyDescent="0.2">
      <c r="V969" s="62"/>
    </row>
    <row r="970" spans="22:22" x14ac:dyDescent="0.2">
      <c r="V970" s="62"/>
    </row>
    <row r="971" spans="22:22" x14ac:dyDescent="0.2">
      <c r="V971" s="62"/>
    </row>
    <row r="972" spans="22:22" x14ac:dyDescent="0.2">
      <c r="V972" s="62"/>
    </row>
    <row r="973" spans="22:22" x14ac:dyDescent="0.2">
      <c r="V973" s="62"/>
    </row>
    <row r="974" spans="22:22" x14ac:dyDescent="0.2">
      <c r="V974" s="62"/>
    </row>
    <row r="975" spans="22:22" x14ac:dyDescent="0.2">
      <c r="V975" s="62"/>
    </row>
    <row r="976" spans="22:22" x14ac:dyDescent="0.2">
      <c r="V976" s="62"/>
    </row>
    <row r="977" spans="22:22" x14ac:dyDescent="0.2">
      <c r="V977" s="62"/>
    </row>
    <row r="978" spans="22:22" x14ac:dyDescent="0.2">
      <c r="V978" s="62"/>
    </row>
    <row r="979" spans="22:22" x14ac:dyDescent="0.2">
      <c r="V979" s="62"/>
    </row>
    <row r="980" spans="22:22" x14ac:dyDescent="0.2">
      <c r="V980" s="62"/>
    </row>
    <row r="981" spans="22:22" x14ac:dyDescent="0.2">
      <c r="V981" s="62"/>
    </row>
    <row r="982" spans="22:22" x14ac:dyDescent="0.2">
      <c r="V982" s="62"/>
    </row>
    <row r="983" spans="22:22" x14ac:dyDescent="0.2">
      <c r="V983" s="62"/>
    </row>
    <row r="984" spans="22:22" x14ac:dyDescent="0.2">
      <c r="V984" s="62"/>
    </row>
    <row r="985" spans="22:22" x14ac:dyDescent="0.2">
      <c r="V985" s="62"/>
    </row>
    <row r="986" spans="22:22" x14ac:dyDescent="0.2">
      <c r="V986" s="62"/>
    </row>
    <row r="987" spans="22:22" x14ac:dyDescent="0.2">
      <c r="V987" s="62"/>
    </row>
    <row r="988" spans="22:22" x14ac:dyDescent="0.2">
      <c r="V988" s="62"/>
    </row>
    <row r="989" spans="22:22" x14ac:dyDescent="0.2">
      <c r="V989" s="62"/>
    </row>
    <row r="990" spans="22:22" x14ac:dyDescent="0.2">
      <c r="V990" s="62"/>
    </row>
    <row r="991" spans="22:22" x14ac:dyDescent="0.2">
      <c r="V991" s="62"/>
    </row>
    <row r="992" spans="22:22" x14ac:dyDescent="0.2">
      <c r="V992" s="62"/>
    </row>
    <row r="993" spans="22:22" x14ac:dyDescent="0.2">
      <c r="V993" s="62"/>
    </row>
    <row r="994" spans="22:22" x14ac:dyDescent="0.2">
      <c r="V994" s="62"/>
    </row>
    <row r="995" spans="22:22" x14ac:dyDescent="0.2">
      <c r="V995" s="62"/>
    </row>
    <row r="996" spans="22:22" x14ac:dyDescent="0.2">
      <c r="V996" s="62"/>
    </row>
    <row r="997" spans="22:22" x14ac:dyDescent="0.2">
      <c r="V997" s="62"/>
    </row>
    <row r="998" spans="22:22" x14ac:dyDescent="0.2">
      <c r="V998" s="62"/>
    </row>
    <row r="999" spans="22:22" x14ac:dyDescent="0.2">
      <c r="V999" s="62"/>
    </row>
    <row r="1000" spans="22:22" x14ac:dyDescent="0.2">
      <c r="V1000" s="62"/>
    </row>
    <row r="1001" spans="22:22" x14ac:dyDescent="0.2">
      <c r="V1001" s="62"/>
    </row>
    <row r="1002" spans="22:22" x14ac:dyDescent="0.2">
      <c r="V1002" s="62"/>
    </row>
    <row r="1003" spans="22:22" x14ac:dyDescent="0.2">
      <c r="V1003" s="62"/>
    </row>
    <row r="1004" spans="22:22" x14ac:dyDescent="0.2">
      <c r="V1004" s="62"/>
    </row>
    <row r="1005" spans="22:22" x14ac:dyDescent="0.2">
      <c r="V1005" s="62"/>
    </row>
    <row r="1006" spans="22:22" x14ac:dyDescent="0.2">
      <c r="V1006" s="62"/>
    </row>
    <row r="1007" spans="22:22" x14ac:dyDescent="0.2">
      <c r="V1007" s="62"/>
    </row>
    <row r="1008" spans="22:22" x14ac:dyDescent="0.2">
      <c r="V1008" s="62"/>
    </row>
    <row r="1009" spans="22:22" x14ac:dyDescent="0.2">
      <c r="V1009" s="62"/>
    </row>
    <row r="1010" spans="22:22" x14ac:dyDescent="0.2">
      <c r="V1010" s="62"/>
    </row>
    <row r="1011" spans="22:22" x14ac:dyDescent="0.2">
      <c r="V1011" s="62"/>
    </row>
    <row r="1012" spans="22:22" x14ac:dyDescent="0.2">
      <c r="V1012" s="62"/>
    </row>
    <row r="1013" spans="22:22" x14ac:dyDescent="0.2">
      <c r="V1013" s="62"/>
    </row>
    <row r="1014" spans="22:22" x14ac:dyDescent="0.2">
      <c r="V1014" s="62"/>
    </row>
    <row r="1015" spans="22:22" x14ac:dyDescent="0.2">
      <c r="V1015" s="62"/>
    </row>
    <row r="1016" spans="22:22" x14ac:dyDescent="0.2">
      <c r="V1016" s="62"/>
    </row>
    <row r="1017" spans="22:22" x14ac:dyDescent="0.2">
      <c r="V1017" s="62"/>
    </row>
    <row r="1018" spans="22:22" x14ac:dyDescent="0.2">
      <c r="V1018" s="62"/>
    </row>
    <row r="1019" spans="22:22" x14ac:dyDescent="0.2">
      <c r="V1019" s="62"/>
    </row>
    <row r="1020" spans="22:22" x14ac:dyDescent="0.2">
      <c r="V1020" s="62"/>
    </row>
    <row r="1021" spans="22:22" x14ac:dyDescent="0.2">
      <c r="V1021" s="62"/>
    </row>
    <row r="1022" spans="22:22" x14ac:dyDescent="0.2">
      <c r="V1022" s="62"/>
    </row>
    <row r="1023" spans="22:22" x14ac:dyDescent="0.2">
      <c r="V1023" s="62"/>
    </row>
    <row r="1024" spans="22:22" x14ac:dyDescent="0.2">
      <c r="V1024" s="62"/>
    </row>
    <row r="1025" spans="22:22" x14ac:dyDescent="0.2">
      <c r="V1025" s="62"/>
    </row>
    <row r="1026" spans="22:22" x14ac:dyDescent="0.2">
      <c r="V1026" s="62"/>
    </row>
    <row r="1027" spans="22:22" x14ac:dyDescent="0.2">
      <c r="V1027" s="62"/>
    </row>
    <row r="1028" spans="22:22" x14ac:dyDescent="0.2">
      <c r="V1028" s="62"/>
    </row>
    <row r="1029" spans="22:22" x14ac:dyDescent="0.2">
      <c r="V1029" s="62"/>
    </row>
    <row r="1030" spans="22:22" x14ac:dyDescent="0.2">
      <c r="V1030" s="62"/>
    </row>
    <row r="1031" spans="22:22" x14ac:dyDescent="0.2">
      <c r="V1031" s="62"/>
    </row>
    <row r="1032" spans="22:22" x14ac:dyDescent="0.2">
      <c r="V1032" s="62"/>
    </row>
    <row r="1033" spans="22:22" x14ac:dyDescent="0.2">
      <c r="V1033" s="62"/>
    </row>
    <row r="1034" spans="22:22" x14ac:dyDescent="0.2">
      <c r="V1034" s="62"/>
    </row>
    <row r="1035" spans="22:22" x14ac:dyDescent="0.2">
      <c r="V1035" s="62"/>
    </row>
    <row r="1036" spans="22:22" x14ac:dyDescent="0.2">
      <c r="V1036" s="62"/>
    </row>
    <row r="1037" spans="22:22" x14ac:dyDescent="0.2">
      <c r="V1037" s="62"/>
    </row>
    <row r="1038" spans="22:22" x14ac:dyDescent="0.2">
      <c r="V1038" s="62"/>
    </row>
    <row r="1039" spans="22:22" x14ac:dyDescent="0.2">
      <c r="V1039" s="62"/>
    </row>
    <row r="1040" spans="22:22" x14ac:dyDescent="0.2">
      <c r="V1040" s="62"/>
    </row>
    <row r="1041" spans="22:22" x14ac:dyDescent="0.2">
      <c r="V1041" s="62"/>
    </row>
    <row r="1042" spans="22:22" x14ac:dyDescent="0.2">
      <c r="V1042" s="62"/>
    </row>
    <row r="1043" spans="22:22" x14ac:dyDescent="0.2">
      <c r="V1043" s="62"/>
    </row>
    <row r="1044" spans="22:22" x14ac:dyDescent="0.2">
      <c r="V1044" s="62"/>
    </row>
    <row r="1045" spans="22:22" x14ac:dyDescent="0.2">
      <c r="V1045" s="62"/>
    </row>
    <row r="1046" spans="22:22" x14ac:dyDescent="0.2">
      <c r="V1046" s="62"/>
    </row>
    <row r="1047" spans="22:22" x14ac:dyDescent="0.2">
      <c r="V1047" s="62"/>
    </row>
    <row r="1048" spans="22:22" x14ac:dyDescent="0.2">
      <c r="V1048" s="62"/>
    </row>
    <row r="1049" spans="22:22" x14ac:dyDescent="0.2">
      <c r="V1049" s="62"/>
    </row>
    <row r="1050" spans="22:22" x14ac:dyDescent="0.2">
      <c r="V1050" s="62"/>
    </row>
    <row r="1051" spans="22:22" x14ac:dyDescent="0.2">
      <c r="V1051" s="62"/>
    </row>
    <row r="1052" spans="22:22" x14ac:dyDescent="0.2">
      <c r="V1052" s="62"/>
    </row>
    <row r="1053" spans="22:22" x14ac:dyDescent="0.2">
      <c r="V1053" s="62"/>
    </row>
    <row r="1054" spans="22:22" x14ac:dyDescent="0.2">
      <c r="V1054" s="62"/>
    </row>
    <row r="1055" spans="22:22" x14ac:dyDescent="0.2">
      <c r="V1055" s="62"/>
    </row>
    <row r="1056" spans="22:22" x14ac:dyDescent="0.2">
      <c r="V1056" s="62"/>
    </row>
    <row r="1057" spans="22:22" x14ac:dyDescent="0.2">
      <c r="V1057" s="62"/>
    </row>
    <row r="1058" spans="22:22" x14ac:dyDescent="0.2">
      <c r="V1058" s="62"/>
    </row>
    <row r="1059" spans="22:22" x14ac:dyDescent="0.2">
      <c r="V1059" s="62"/>
    </row>
    <row r="1060" spans="22:22" x14ac:dyDescent="0.2">
      <c r="V1060" s="62"/>
    </row>
    <row r="1061" spans="22:22" x14ac:dyDescent="0.2">
      <c r="V1061" s="62"/>
    </row>
    <row r="1062" spans="22:22" x14ac:dyDescent="0.2">
      <c r="V1062" s="62"/>
    </row>
    <row r="1063" spans="22:22" x14ac:dyDescent="0.2">
      <c r="V1063" s="62"/>
    </row>
    <row r="1064" spans="22:22" x14ac:dyDescent="0.2">
      <c r="V1064" s="62"/>
    </row>
    <row r="1065" spans="22:22" x14ac:dyDescent="0.2">
      <c r="V1065" s="62"/>
    </row>
    <row r="1066" spans="22:22" x14ac:dyDescent="0.2">
      <c r="V1066" s="62"/>
    </row>
    <row r="1067" spans="22:22" x14ac:dyDescent="0.2">
      <c r="V1067" s="62"/>
    </row>
    <row r="1068" spans="22:22" x14ac:dyDescent="0.2">
      <c r="V1068" s="62"/>
    </row>
    <row r="1069" spans="22:22" x14ac:dyDescent="0.2">
      <c r="V1069" s="62"/>
    </row>
    <row r="1070" spans="22:22" x14ac:dyDescent="0.2">
      <c r="V1070" s="62"/>
    </row>
    <row r="1071" spans="22:22" x14ac:dyDescent="0.2">
      <c r="V1071" s="62"/>
    </row>
    <row r="1072" spans="22:22" x14ac:dyDescent="0.2">
      <c r="V1072" s="62"/>
    </row>
    <row r="1073" spans="22:22" x14ac:dyDescent="0.2">
      <c r="V1073" s="62"/>
    </row>
    <row r="1074" spans="22:22" x14ac:dyDescent="0.2">
      <c r="V1074" s="62"/>
    </row>
    <row r="1075" spans="22:22" x14ac:dyDescent="0.2">
      <c r="V1075" s="62"/>
    </row>
    <row r="1076" spans="22:22" x14ac:dyDescent="0.2">
      <c r="V1076" s="62"/>
    </row>
    <row r="1077" spans="22:22" x14ac:dyDescent="0.2">
      <c r="V1077" s="62"/>
    </row>
    <row r="1078" spans="22:22" x14ac:dyDescent="0.2">
      <c r="V1078" s="62"/>
    </row>
    <row r="1079" spans="22:22" x14ac:dyDescent="0.2">
      <c r="V1079" s="62"/>
    </row>
    <row r="1080" spans="22:22" x14ac:dyDescent="0.2">
      <c r="V1080" s="62"/>
    </row>
    <row r="1081" spans="22:22" x14ac:dyDescent="0.2">
      <c r="V1081" s="62"/>
    </row>
    <row r="1082" spans="22:22" x14ac:dyDescent="0.2">
      <c r="V1082" s="62"/>
    </row>
    <row r="1083" spans="22:22" x14ac:dyDescent="0.2">
      <c r="V1083" s="62"/>
    </row>
    <row r="1084" spans="22:22" x14ac:dyDescent="0.2">
      <c r="V1084" s="62"/>
    </row>
    <row r="1085" spans="22:22" x14ac:dyDescent="0.2">
      <c r="V1085" s="62"/>
    </row>
    <row r="1086" spans="22:22" x14ac:dyDescent="0.2">
      <c r="V1086" s="62"/>
    </row>
    <row r="1087" spans="22:22" x14ac:dyDescent="0.2">
      <c r="V1087" s="62"/>
    </row>
    <row r="1088" spans="22:22" x14ac:dyDescent="0.2">
      <c r="V1088" s="62"/>
    </row>
    <row r="1089" spans="22:22" x14ac:dyDescent="0.2">
      <c r="V1089" s="62"/>
    </row>
    <row r="1090" spans="22:22" x14ac:dyDescent="0.2">
      <c r="V1090" s="62"/>
    </row>
    <row r="1091" spans="22:22" x14ac:dyDescent="0.2">
      <c r="V1091" s="62"/>
    </row>
    <row r="1092" spans="22:22" x14ac:dyDescent="0.2">
      <c r="V1092" s="62"/>
    </row>
    <row r="1093" spans="22:22" x14ac:dyDescent="0.2">
      <c r="V1093" s="62"/>
    </row>
    <row r="1094" spans="22:22" x14ac:dyDescent="0.2">
      <c r="V1094" s="62"/>
    </row>
    <row r="1095" spans="22:22" x14ac:dyDescent="0.2">
      <c r="V1095" s="62"/>
    </row>
    <row r="1096" spans="22:22" x14ac:dyDescent="0.2">
      <c r="V1096" s="62"/>
    </row>
    <row r="1097" spans="22:22" x14ac:dyDescent="0.2">
      <c r="V1097" s="62"/>
    </row>
    <row r="1098" spans="22:22" x14ac:dyDescent="0.2">
      <c r="V1098" s="62"/>
    </row>
    <row r="1099" spans="22:22" x14ac:dyDescent="0.2">
      <c r="V1099" s="62"/>
    </row>
    <row r="1100" spans="22:22" x14ac:dyDescent="0.2">
      <c r="V1100" s="62"/>
    </row>
    <row r="1101" spans="22:22" x14ac:dyDescent="0.2">
      <c r="V1101" s="62"/>
    </row>
    <row r="1102" spans="22:22" x14ac:dyDescent="0.2">
      <c r="V1102" s="62"/>
    </row>
    <row r="1103" spans="22:22" x14ac:dyDescent="0.2">
      <c r="V1103" s="62"/>
    </row>
    <row r="1104" spans="22:22" x14ac:dyDescent="0.2">
      <c r="V1104" s="62"/>
    </row>
    <row r="1105" spans="22:22" x14ac:dyDescent="0.2">
      <c r="V1105" s="62"/>
    </row>
    <row r="1106" spans="22:22" x14ac:dyDescent="0.2">
      <c r="V1106" s="62"/>
    </row>
    <row r="1107" spans="22:22" x14ac:dyDescent="0.2">
      <c r="V1107" s="62"/>
    </row>
    <row r="1108" spans="22:22" x14ac:dyDescent="0.2">
      <c r="V1108" s="62"/>
    </row>
    <row r="1109" spans="22:22" x14ac:dyDescent="0.2">
      <c r="V1109" s="62"/>
    </row>
    <row r="1110" spans="22:22" x14ac:dyDescent="0.2">
      <c r="V1110" s="62"/>
    </row>
    <row r="1111" spans="22:22" x14ac:dyDescent="0.2">
      <c r="V1111" s="62"/>
    </row>
    <row r="1112" spans="22:22" x14ac:dyDescent="0.2">
      <c r="V1112" s="62"/>
    </row>
    <row r="1113" spans="22:22" x14ac:dyDescent="0.2">
      <c r="V1113" s="62"/>
    </row>
    <row r="1114" spans="22:22" x14ac:dyDescent="0.2">
      <c r="V1114" s="62"/>
    </row>
    <row r="1115" spans="22:22" x14ac:dyDescent="0.2">
      <c r="V1115" s="62"/>
    </row>
    <row r="1116" spans="22:22" x14ac:dyDescent="0.2">
      <c r="V1116" s="62"/>
    </row>
    <row r="1117" spans="22:22" x14ac:dyDescent="0.2">
      <c r="V1117" s="62"/>
    </row>
    <row r="1118" spans="22:22" x14ac:dyDescent="0.2">
      <c r="V1118" s="62"/>
    </row>
    <row r="1119" spans="22:22" x14ac:dyDescent="0.2">
      <c r="V1119" s="62"/>
    </row>
    <row r="1120" spans="22:22" x14ac:dyDescent="0.2">
      <c r="V1120" s="62"/>
    </row>
    <row r="1121" spans="22:22" x14ac:dyDescent="0.2">
      <c r="V1121" s="62"/>
    </row>
    <row r="1122" spans="22:22" x14ac:dyDescent="0.2">
      <c r="V1122" s="62"/>
    </row>
    <row r="1123" spans="22:22" x14ac:dyDescent="0.2">
      <c r="V1123" s="62"/>
    </row>
    <row r="1124" spans="22:22" x14ac:dyDescent="0.2">
      <c r="V1124" s="62"/>
    </row>
    <row r="1125" spans="22:22" x14ac:dyDescent="0.2">
      <c r="V1125" s="62"/>
    </row>
    <row r="1126" spans="22:22" x14ac:dyDescent="0.2">
      <c r="V1126" s="62"/>
    </row>
    <row r="1127" spans="22:22" x14ac:dyDescent="0.2">
      <c r="V1127" s="62"/>
    </row>
    <row r="1128" spans="22:22" x14ac:dyDescent="0.2">
      <c r="V1128" s="62"/>
    </row>
    <row r="1129" spans="22:22" x14ac:dyDescent="0.2">
      <c r="V1129" s="62"/>
    </row>
    <row r="1130" spans="22:22" x14ac:dyDescent="0.2">
      <c r="V1130" s="62"/>
    </row>
    <row r="1131" spans="22:22" x14ac:dyDescent="0.2">
      <c r="V1131" s="62"/>
    </row>
    <row r="1132" spans="22:22" x14ac:dyDescent="0.2">
      <c r="V1132" s="62"/>
    </row>
    <row r="1133" spans="22:22" x14ac:dyDescent="0.2">
      <c r="V1133" s="62"/>
    </row>
    <row r="1134" spans="22:22" x14ac:dyDescent="0.2">
      <c r="V1134" s="62"/>
    </row>
    <row r="1135" spans="22:22" x14ac:dyDescent="0.2">
      <c r="V1135" s="62"/>
    </row>
    <row r="1136" spans="22:22" x14ac:dyDescent="0.2">
      <c r="V1136" s="62"/>
    </row>
    <row r="1137" spans="22:22" x14ac:dyDescent="0.2">
      <c r="V1137" s="62"/>
    </row>
    <row r="1138" spans="22:22" x14ac:dyDescent="0.2">
      <c r="V1138" s="62"/>
    </row>
    <row r="1139" spans="22:22" x14ac:dyDescent="0.2">
      <c r="V1139" s="62"/>
    </row>
    <row r="1140" spans="22:22" x14ac:dyDescent="0.2">
      <c r="V1140" s="62"/>
    </row>
    <row r="1141" spans="22:22" x14ac:dyDescent="0.2">
      <c r="V1141" s="62"/>
    </row>
    <row r="1142" spans="22:22" x14ac:dyDescent="0.2">
      <c r="V1142" s="62"/>
    </row>
    <row r="1143" spans="22:22" x14ac:dyDescent="0.2">
      <c r="V1143" s="62"/>
    </row>
    <row r="1144" spans="22:22" x14ac:dyDescent="0.2">
      <c r="V1144" s="62"/>
    </row>
    <row r="1145" spans="22:22" x14ac:dyDescent="0.2">
      <c r="V1145" s="62"/>
    </row>
    <row r="1146" spans="22:22" x14ac:dyDescent="0.2">
      <c r="V1146" s="62"/>
    </row>
    <row r="1147" spans="22:22" x14ac:dyDescent="0.2">
      <c r="V1147" s="62"/>
    </row>
    <row r="1148" spans="22:22" x14ac:dyDescent="0.2">
      <c r="V1148" s="62"/>
    </row>
    <row r="1149" spans="22:22" x14ac:dyDescent="0.2">
      <c r="V1149" s="62"/>
    </row>
    <row r="1150" spans="22:22" x14ac:dyDescent="0.2">
      <c r="V1150" s="62"/>
    </row>
    <row r="1151" spans="22:22" x14ac:dyDescent="0.2">
      <c r="V1151" s="62"/>
    </row>
    <row r="1152" spans="22:22" x14ac:dyDescent="0.2">
      <c r="V1152" s="62"/>
    </row>
    <row r="1153" spans="22:22" x14ac:dyDescent="0.2">
      <c r="V1153" s="62"/>
    </row>
    <row r="1154" spans="22:22" x14ac:dyDescent="0.2">
      <c r="V1154" s="62"/>
    </row>
    <row r="1155" spans="22:22" x14ac:dyDescent="0.2">
      <c r="V1155" s="62"/>
    </row>
    <row r="1156" spans="22:22" x14ac:dyDescent="0.2">
      <c r="V1156" s="62"/>
    </row>
    <row r="1157" spans="22:22" x14ac:dyDescent="0.2">
      <c r="V1157" s="62"/>
    </row>
    <row r="1158" spans="22:22" x14ac:dyDescent="0.2">
      <c r="V1158" s="62"/>
    </row>
    <row r="1159" spans="22:22" x14ac:dyDescent="0.2">
      <c r="V1159" s="62"/>
    </row>
    <row r="1160" spans="22:22" x14ac:dyDescent="0.2">
      <c r="V1160" s="62"/>
    </row>
    <row r="1161" spans="22:22" x14ac:dyDescent="0.2">
      <c r="V1161" s="62"/>
    </row>
    <row r="1162" spans="22:22" x14ac:dyDescent="0.2">
      <c r="V1162" s="62"/>
    </row>
    <row r="1163" spans="22:22" x14ac:dyDescent="0.2">
      <c r="V1163" s="62"/>
    </row>
    <row r="1164" spans="22:22" x14ac:dyDescent="0.2">
      <c r="V1164" s="62"/>
    </row>
    <row r="1165" spans="22:22" x14ac:dyDescent="0.2">
      <c r="V1165" s="62"/>
    </row>
    <row r="1166" spans="22:22" x14ac:dyDescent="0.2">
      <c r="V1166" s="62"/>
    </row>
    <row r="1167" spans="22:22" x14ac:dyDescent="0.2">
      <c r="V1167" s="62"/>
    </row>
    <row r="1168" spans="22:22" x14ac:dyDescent="0.2">
      <c r="V1168" s="62"/>
    </row>
    <row r="1169" spans="22:22" x14ac:dyDescent="0.2">
      <c r="V1169" s="62"/>
    </row>
    <row r="1170" spans="22:22" x14ac:dyDescent="0.2">
      <c r="V1170" s="62"/>
    </row>
    <row r="1171" spans="22:22" x14ac:dyDescent="0.2">
      <c r="V1171" s="62"/>
    </row>
    <row r="1172" spans="22:22" x14ac:dyDescent="0.2">
      <c r="V1172" s="62"/>
    </row>
    <row r="1173" spans="22:22" x14ac:dyDescent="0.2">
      <c r="V1173" s="62"/>
    </row>
    <row r="1174" spans="22:22" x14ac:dyDescent="0.2">
      <c r="V1174" s="62"/>
    </row>
    <row r="1175" spans="22:22" x14ac:dyDescent="0.2">
      <c r="V1175" s="62"/>
    </row>
    <row r="1176" spans="22:22" x14ac:dyDescent="0.2">
      <c r="V1176" s="62"/>
    </row>
    <row r="1177" spans="22:22" x14ac:dyDescent="0.2">
      <c r="V1177" s="62"/>
    </row>
    <row r="1178" spans="22:22" x14ac:dyDescent="0.2">
      <c r="V1178" s="62"/>
    </row>
    <row r="1179" spans="22:22" x14ac:dyDescent="0.2">
      <c r="V1179" s="62"/>
    </row>
    <row r="1180" spans="22:22" x14ac:dyDescent="0.2">
      <c r="V1180" s="62"/>
    </row>
    <row r="1181" spans="22:22" x14ac:dyDescent="0.2">
      <c r="V1181" s="62"/>
    </row>
    <row r="1182" spans="22:22" x14ac:dyDescent="0.2">
      <c r="V1182" s="62"/>
    </row>
    <row r="1183" spans="22:22" x14ac:dyDescent="0.2">
      <c r="V1183" s="62"/>
    </row>
    <row r="1184" spans="22:22" x14ac:dyDescent="0.2">
      <c r="V1184" s="62"/>
    </row>
    <row r="1185" spans="22:22" x14ac:dyDescent="0.2">
      <c r="V1185" s="62"/>
    </row>
    <row r="1186" spans="22:22" x14ac:dyDescent="0.2">
      <c r="V1186" s="62"/>
    </row>
    <row r="1187" spans="22:22" x14ac:dyDescent="0.2">
      <c r="V1187" s="62"/>
    </row>
    <row r="1188" spans="22:22" x14ac:dyDescent="0.2">
      <c r="V1188" s="62"/>
    </row>
    <row r="1189" spans="22:22" x14ac:dyDescent="0.2">
      <c r="V1189" s="62"/>
    </row>
    <row r="1190" spans="22:22" x14ac:dyDescent="0.2">
      <c r="V1190" s="62"/>
    </row>
    <row r="1191" spans="22:22" x14ac:dyDescent="0.2">
      <c r="V1191" s="62"/>
    </row>
    <row r="1192" spans="22:22" x14ac:dyDescent="0.2">
      <c r="V1192" s="62"/>
    </row>
    <row r="1193" spans="22:22" x14ac:dyDescent="0.2">
      <c r="V1193" s="62"/>
    </row>
    <row r="1194" spans="22:22" x14ac:dyDescent="0.2">
      <c r="V1194" s="62"/>
    </row>
    <row r="1195" spans="22:22" x14ac:dyDescent="0.2">
      <c r="V1195" s="62"/>
    </row>
    <row r="1196" spans="22:22" x14ac:dyDescent="0.2">
      <c r="V1196" s="62"/>
    </row>
    <row r="1197" spans="22:22" x14ac:dyDescent="0.2">
      <c r="V1197" s="62"/>
    </row>
    <row r="1198" spans="22:22" x14ac:dyDescent="0.2">
      <c r="V1198" s="62"/>
    </row>
    <row r="1199" spans="22:22" x14ac:dyDescent="0.2">
      <c r="V1199" s="62"/>
    </row>
    <row r="1200" spans="22:22" x14ac:dyDescent="0.2">
      <c r="V1200" s="62"/>
    </row>
    <row r="1201" spans="22:22" x14ac:dyDescent="0.2">
      <c r="V1201" s="62"/>
    </row>
    <row r="1202" spans="22:22" x14ac:dyDescent="0.2">
      <c r="V1202" s="62"/>
    </row>
    <row r="1203" spans="22:22" x14ac:dyDescent="0.2">
      <c r="V1203" s="62"/>
    </row>
    <row r="1204" spans="22:22" x14ac:dyDescent="0.2">
      <c r="V1204" s="62"/>
    </row>
    <row r="1205" spans="22:22" x14ac:dyDescent="0.2">
      <c r="V1205" s="62"/>
    </row>
    <row r="1206" spans="22:22" x14ac:dyDescent="0.2">
      <c r="V1206" s="62"/>
    </row>
    <row r="1207" spans="22:22" x14ac:dyDescent="0.2">
      <c r="V1207" s="62"/>
    </row>
    <row r="1208" spans="22:22" x14ac:dyDescent="0.2">
      <c r="V1208" s="62"/>
    </row>
    <row r="1209" spans="22:22" x14ac:dyDescent="0.2">
      <c r="V1209" s="62"/>
    </row>
    <row r="1210" spans="22:22" x14ac:dyDescent="0.2">
      <c r="V1210" s="62"/>
    </row>
    <row r="1211" spans="22:22" x14ac:dyDescent="0.2">
      <c r="V1211" s="62"/>
    </row>
    <row r="1212" spans="22:22" x14ac:dyDescent="0.2">
      <c r="V1212" s="62"/>
    </row>
    <row r="1213" spans="22:22" x14ac:dyDescent="0.2">
      <c r="V1213" s="62"/>
    </row>
    <row r="1214" spans="22:22" x14ac:dyDescent="0.2">
      <c r="V1214" s="62"/>
    </row>
    <row r="1215" spans="22:22" x14ac:dyDescent="0.2">
      <c r="V1215" s="62"/>
    </row>
    <row r="1216" spans="22:22" x14ac:dyDescent="0.2">
      <c r="V1216" s="62"/>
    </row>
    <row r="1217" spans="22:22" x14ac:dyDescent="0.2">
      <c r="V1217" s="62"/>
    </row>
    <row r="1218" spans="22:22" x14ac:dyDescent="0.2">
      <c r="V1218" s="62"/>
    </row>
    <row r="1219" spans="22:22" x14ac:dyDescent="0.2">
      <c r="V1219" s="62"/>
    </row>
    <row r="1220" spans="22:22" x14ac:dyDescent="0.2">
      <c r="V1220" s="62"/>
    </row>
    <row r="1221" spans="22:22" x14ac:dyDescent="0.2">
      <c r="V1221" s="62"/>
    </row>
    <row r="1222" spans="22:22" x14ac:dyDescent="0.2">
      <c r="V1222" s="62"/>
    </row>
    <row r="1223" spans="22:22" x14ac:dyDescent="0.2">
      <c r="V1223" s="62"/>
    </row>
    <row r="1224" spans="22:22" x14ac:dyDescent="0.2">
      <c r="V1224" s="62"/>
    </row>
    <row r="1225" spans="22:22" x14ac:dyDescent="0.2">
      <c r="V1225" s="62"/>
    </row>
    <row r="1226" spans="22:22" x14ac:dyDescent="0.2">
      <c r="V1226" s="62"/>
    </row>
    <row r="1227" spans="22:22" x14ac:dyDescent="0.2">
      <c r="V1227" s="62"/>
    </row>
    <row r="1228" spans="22:22" x14ac:dyDescent="0.2">
      <c r="V1228" s="62"/>
    </row>
    <row r="1229" spans="22:22" x14ac:dyDescent="0.2">
      <c r="V1229" s="62"/>
    </row>
    <row r="1230" spans="22:22" x14ac:dyDescent="0.2">
      <c r="V1230" s="62"/>
    </row>
    <row r="1231" spans="22:22" x14ac:dyDescent="0.2">
      <c r="V1231" s="62"/>
    </row>
    <row r="1232" spans="22:22" x14ac:dyDescent="0.2">
      <c r="V1232" s="62"/>
    </row>
    <row r="1233" spans="22:22" x14ac:dyDescent="0.2">
      <c r="V1233" s="62"/>
    </row>
    <row r="1234" spans="22:22" x14ac:dyDescent="0.2">
      <c r="V1234" s="62"/>
    </row>
    <row r="1235" spans="22:22" x14ac:dyDescent="0.2">
      <c r="V1235" s="62"/>
    </row>
    <row r="1236" spans="22:22" x14ac:dyDescent="0.2">
      <c r="V1236" s="62"/>
    </row>
    <row r="1237" spans="22:22" x14ac:dyDescent="0.2">
      <c r="V1237" s="62"/>
    </row>
    <row r="1238" spans="22:22" x14ac:dyDescent="0.2">
      <c r="V1238" s="62"/>
    </row>
    <row r="1239" spans="22:22" x14ac:dyDescent="0.2">
      <c r="V1239" s="62"/>
    </row>
    <row r="1240" spans="22:22" x14ac:dyDescent="0.2">
      <c r="V1240" s="62"/>
    </row>
    <row r="1241" spans="22:22" x14ac:dyDescent="0.2">
      <c r="V1241" s="62"/>
    </row>
    <row r="1242" spans="22:22" x14ac:dyDescent="0.2">
      <c r="V1242" s="62"/>
    </row>
    <row r="1243" spans="22:22" x14ac:dyDescent="0.2">
      <c r="V1243" s="62"/>
    </row>
    <row r="1244" spans="22:22" x14ac:dyDescent="0.2">
      <c r="V1244" s="62"/>
    </row>
    <row r="1245" spans="22:22" x14ac:dyDescent="0.2">
      <c r="V1245" s="62"/>
    </row>
    <row r="1246" spans="22:22" x14ac:dyDescent="0.2">
      <c r="V1246" s="62"/>
    </row>
    <row r="1247" spans="22:22" x14ac:dyDescent="0.2">
      <c r="V1247" s="62"/>
    </row>
    <row r="1248" spans="22:22" x14ac:dyDescent="0.2">
      <c r="V1248" s="62"/>
    </row>
    <row r="1249" spans="22:22" x14ac:dyDescent="0.2">
      <c r="V1249" s="62"/>
    </row>
    <row r="1250" spans="22:22" x14ac:dyDescent="0.2">
      <c r="V1250" s="62"/>
    </row>
    <row r="1251" spans="22:22" x14ac:dyDescent="0.2">
      <c r="V1251" s="62"/>
    </row>
    <row r="1252" spans="22:22" x14ac:dyDescent="0.2">
      <c r="V1252" s="62"/>
    </row>
    <row r="1253" spans="22:22" x14ac:dyDescent="0.2">
      <c r="V1253" s="62"/>
    </row>
    <row r="1254" spans="22:22" x14ac:dyDescent="0.2">
      <c r="V1254" s="62"/>
    </row>
    <row r="1255" spans="22:22" x14ac:dyDescent="0.2">
      <c r="V1255" s="62"/>
    </row>
    <row r="1256" spans="22:22" x14ac:dyDescent="0.2">
      <c r="V1256" s="62"/>
    </row>
    <row r="1257" spans="22:22" x14ac:dyDescent="0.2">
      <c r="V1257" s="62"/>
    </row>
    <row r="1258" spans="22:22" x14ac:dyDescent="0.2">
      <c r="V1258" s="62"/>
    </row>
    <row r="1259" spans="22:22" x14ac:dyDescent="0.2">
      <c r="V1259" s="62"/>
    </row>
    <row r="1260" spans="22:22" x14ac:dyDescent="0.2">
      <c r="V1260" s="62"/>
    </row>
    <row r="1261" spans="22:22" x14ac:dyDescent="0.2">
      <c r="V1261" s="62"/>
    </row>
    <row r="1262" spans="22:22" x14ac:dyDescent="0.2">
      <c r="V1262" s="62"/>
    </row>
    <row r="1263" spans="22:22" x14ac:dyDescent="0.2">
      <c r="V1263" s="62"/>
    </row>
    <row r="1264" spans="22:22" x14ac:dyDescent="0.2">
      <c r="V1264" s="62"/>
    </row>
    <row r="1265" spans="22:22" x14ac:dyDescent="0.2">
      <c r="V1265" s="62"/>
    </row>
    <row r="1266" spans="22:22" x14ac:dyDescent="0.2">
      <c r="V1266" s="62"/>
    </row>
    <row r="1267" spans="22:22" x14ac:dyDescent="0.2">
      <c r="V1267" s="62"/>
    </row>
    <row r="1268" spans="22:22" x14ac:dyDescent="0.2">
      <c r="V1268" s="62"/>
    </row>
    <row r="1269" spans="22:22" x14ac:dyDescent="0.2">
      <c r="V1269" s="62"/>
    </row>
    <row r="1270" spans="22:22" x14ac:dyDescent="0.2">
      <c r="V1270" s="62"/>
    </row>
    <row r="1271" spans="22:22" x14ac:dyDescent="0.2">
      <c r="V1271" s="62"/>
    </row>
    <row r="1272" spans="22:22" x14ac:dyDescent="0.2">
      <c r="V1272" s="62"/>
    </row>
    <row r="1273" spans="22:22" x14ac:dyDescent="0.2">
      <c r="V1273" s="62"/>
    </row>
    <row r="1274" spans="22:22" x14ac:dyDescent="0.2">
      <c r="V1274" s="62"/>
    </row>
    <row r="1275" spans="22:22" x14ac:dyDescent="0.2">
      <c r="V1275" s="62"/>
    </row>
    <row r="1276" spans="22:22" x14ac:dyDescent="0.2">
      <c r="V1276" s="62"/>
    </row>
    <row r="1277" spans="22:22" x14ac:dyDescent="0.2">
      <c r="V1277" s="62"/>
    </row>
    <row r="1278" spans="22:22" x14ac:dyDescent="0.2">
      <c r="V1278" s="62"/>
    </row>
    <row r="1279" spans="22:22" x14ac:dyDescent="0.2">
      <c r="V1279" s="62"/>
    </row>
    <row r="1280" spans="22:22" x14ac:dyDescent="0.2">
      <c r="V1280" s="62"/>
    </row>
    <row r="1281" spans="22:22" x14ac:dyDescent="0.2">
      <c r="V1281" s="62"/>
    </row>
    <row r="1282" spans="22:22" x14ac:dyDescent="0.2">
      <c r="V1282" s="62"/>
    </row>
    <row r="1283" spans="22:22" x14ac:dyDescent="0.2">
      <c r="V1283" s="62"/>
    </row>
    <row r="1284" spans="22:22" x14ac:dyDescent="0.2">
      <c r="V1284" s="62"/>
    </row>
    <row r="1285" spans="22:22" x14ac:dyDescent="0.2">
      <c r="V1285" s="62"/>
    </row>
    <row r="1286" spans="22:22" x14ac:dyDescent="0.2">
      <c r="V1286" s="62"/>
    </row>
    <row r="1287" spans="22:22" x14ac:dyDescent="0.2">
      <c r="V1287" s="62"/>
    </row>
    <row r="1288" spans="22:22" x14ac:dyDescent="0.2">
      <c r="V1288" s="62"/>
    </row>
    <row r="1289" spans="22:22" x14ac:dyDescent="0.2">
      <c r="V1289" s="62"/>
    </row>
    <row r="1290" spans="22:22" x14ac:dyDescent="0.2">
      <c r="V1290" s="62"/>
    </row>
    <row r="1291" spans="22:22" x14ac:dyDescent="0.2">
      <c r="V1291" s="62"/>
    </row>
    <row r="1292" spans="22:22" x14ac:dyDescent="0.2">
      <c r="V1292" s="62"/>
    </row>
    <row r="1293" spans="22:22" x14ac:dyDescent="0.2">
      <c r="V1293" s="62"/>
    </row>
    <row r="1294" spans="22:22" x14ac:dyDescent="0.2">
      <c r="V1294" s="62"/>
    </row>
    <row r="1295" spans="22:22" x14ac:dyDescent="0.2">
      <c r="V1295" s="62"/>
    </row>
    <row r="1296" spans="22:22" x14ac:dyDescent="0.2">
      <c r="V1296" s="62"/>
    </row>
    <row r="1297" spans="22:22" x14ac:dyDescent="0.2">
      <c r="V1297" s="62"/>
    </row>
    <row r="1298" spans="22:22" x14ac:dyDescent="0.2">
      <c r="V1298" s="62"/>
    </row>
    <row r="1299" spans="22:22" x14ac:dyDescent="0.2">
      <c r="V1299" s="62"/>
    </row>
    <row r="1300" spans="22:22" x14ac:dyDescent="0.2">
      <c r="V1300" s="62"/>
    </row>
    <row r="1301" spans="22:22" x14ac:dyDescent="0.2">
      <c r="V1301" s="62"/>
    </row>
    <row r="1302" spans="22:22" x14ac:dyDescent="0.2">
      <c r="V1302" s="62"/>
    </row>
    <row r="1303" spans="22:22" x14ac:dyDescent="0.2">
      <c r="V1303" s="62"/>
    </row>
    <row r="1304" spans="22:22" x14ac:dyDescent="0.2">
      <c r="V1304" s="62"/>
    </row>
    <row r="1305" spans="22:22" x14ac:dyDescent="0.2">
      <c r="V1305" s="62"/>
    </row>
    <row r="1306" spans="22:22" x14ac:dyDescent="0.2">
      <c r="V1306" s="62"/>
    </row>
    <row r="1307" spans="22:22" x14ac:dyDescent="0.2">
      <c r="V1307" s="62"/>
    </row>
    <row r="1308" spans="22:22" x14ac:dyDescent="0.2">
      <c r="V1308" s="62"/>
    </row>
    <row r="1309" spans="22:22" x14ac:dyDescent="0.2">
      <c r="V1309" s="62"/>
    </row>
    <row r="1310" spans="22:22" x14ac:dyDescent="0.2">
      <c r="V1310" s="62"/>
    </row>
    <row r="1311" spans="22:22" x14ac:dyDescent="0.2">
      <c r="V1311" s="62"/>
    </row>
    <row r="1312" spans="22:22" x14ac:dyDescent="0.2">
      <c r="V1312" s="62"/>
    </row>
    <row r="1313" spans="22:22" x14ac:dyDescent="0.2">
      <c r="V1313" s="62"/>
    </row>
    <row r="1314" spans="22:22" x14ac:dyDescent="0.2">
      <c r="V1314" s="62"/>
    </row>
    <row r="1315" spans="22:22" x14ac:dyDescent="0.2">
      <c r="V1315" s="62"/>
    </row>
    <row r="1316" spans="22:22" x14ac:dyDescent="0.2">
      <c r="V1316" s="62"/>
    </row>
    <row r="1317" spans="22:22" x14ac:dyDescent="0.2">
      <c r="V1317" s="62"/>
    </row>
    <row r="1318" spans="22:22" x14ac:dyDescent="0.2">
      <c r="V1318" s="62"/>
    </row>
    <row r="1319" spans="22:22" x14ac:dyDescent="0.2">
      <c r="V1319" s="62"/>
    </row>
    <row r="1320" spans="22:22" x14ac:dyDescent="0.2">
      <c r="V1320" s="62"/>
    </row>
    <row r="1321" spans="22:22" x14ac:dyDescent="0.2">
      <c r="V1321" s="62"/>
    </row>
    <row r="1322" spans="22:22" x14ac:dyDescent="0.2">
      <c r="V1322" s="62"/>
    </row>
    <row r="1323" spans="22:22" x14ac:dyDescent="0.2">
      <c r="V1323" s="62"/>
    </row>
    <row r="1324" spans="22:22" x14ac:dyDescent="0.2">
      <c r="V1324" s="62"/>
    </row>
    <row r="1325" spans="22:22" x14ac:dyDescent="0.2">
      <c r="V1325" s="62"/>
    </row>
    <row r="1326" spans="22:22" x14ac:dyDescent="0.2">
      <c r="V1326" s="62"/>
    </row>
    <row r="1327" spans="22:22" x14ac:dyDescent="0.2">
      <c r="V1327" s="62"/>
    </row>
    <row r="1328" spans="22:22" x14ac:dyDescent="0.2">
      <c r="V1328" s="62"/>
    </row>
    <row r="1329" spans="22:22" x14ac:dyDescent="0.2">
      <c r="V1329" s="62"/>
    </row>
    <row r="1330" spans="22:22" x14ac:dyDescent="0.2">
      <c r="V1330" s="62"/>
    </row>
    <row r="1331" spans="22:22" x14ac:dyDescent="0.2">
      <c r="V1331" s="62"/>
    </row>
    <row r="1332" spans="22:22" x14ac:dyDescent="0.2">
      <c r="V1332" s="62"/>
    </row>
    <row r="1333" spans="22:22" x14ac:dyDescent="0.2">
      <c r="V1333" s="62"/>
    </row>
    <row r="1334" spans="22:22" x14ac:dyDescent="0.2">
      <c r="V1334" s="62"/>
    </row>
    <row r="1335" spans="22:22" x14ac:dyDescent="0.2">
      <c r="V1335" s="62"/>
    </row>
    <row r="1336" spans="22:22" x14ac:dyDescent="0.2">
      <c r="V1336" s="62"/>
    </row>
    <row r="1337" spans="22:22" x14ac:dyDescent="0.2">
      <c r="V1337" s="62"/>
    </row>
    <row r="1338" spans="22:22" x14ac:dyDescent="0.2">
      <c r="V1338" s="62"/>
    </row>
    <row r="1339" spans="22:22" x14ac:dyDescent="0.2">
      <c r="V1339" s="62"/>
    </row>
    <row r="1340" spans="22:22" x14ac:dyDescent="0.2">
      <c r="V1340" s="62"/>
    </row>
    <row r="1341" spans="22:22" x14ac:dyDescent="0.2">
      <c r="V1341" s="62"/>
    </row>
    <row r="1342" spans="22:22" x14ac:dyDescent="0.2">
      <c r="V1342" s="62"/>
    </row>
    <row r="1343" spans="22:22" x14ac:dyDescent="0.2">
      <c r="V1343" s="62"/>
    </row>
    <row r="1344" spans="22:22" x14ac:dyDescent="0.2">
      <c r="V1344" s="62"/>
    </row>
    <row r="1345" spans="22:22" x14ac:dyDescent="0.2">
      <c r="V1345" s="62"/>
    </row>
    <row r="1346" spans="22:22" x14ac:dyDescent="0.2">
      <c r="V1346" s="62"/>
    </row>
    <row r="1347" spans="22:22" x14ac:dyDescent="0.2">
      <c r="V1347" s="62"/>
    </row>
    <row r="1348" spans="22:22" x14ac:dyDescent="0.2">
      <c r="V1348" s="62"/>
    </row>
    <row r="1349" spans="22:22" x14ac:dyDescent="0.2">
      <c r="V1349" s="62"/>
    </row>
    <row r="1350" spans="22:22" x14ac:dyDescent="0.2">
      <c r="V1350" s="62"/>
    </row>
    <row r="1351" spans="22:22" x14ac:dyDescent="0.2">
      <c r="V1351" s="62"/>
    </row>
    <row r="1352" spans="22:22" x14ac:dyDescent="0.2">
      <c r="V1352" s="62"/>
    </row>
    <row r="1353" spans="22:22" x14ac:dyDescent="0.2">
      <c r="V1353" s="62"/>
    </row>
    <row r="1354" spans="22:22" x14ac:dyDescent="0.2">
      <c r="V1354" s="62"/>
    </row>
    <row r="1355" spans="22:22" x14ac:dyDescent="0.2">
      <c r="V1355" s="62"/>
    </row>
    <row r="1356" spans="22:22" x14ac:dyDescent="0.2">
      <c r="V1356" s="62"/>
    </row>
    <row r="1357" spans="22:22" x14ac:dyDescent="0.2">
      <c r="V1357" s="62"/>
    </row>
    <row r="1358" spans="22:22" x14ac:dyDescent="0.2">
      <c r="V1358" s="62"/>
    </row>
    <row r="1359" spans="22:22" x14ac:dyDescent="0.2">
      <c r="V1359" s="62"/>
    </row>
    <row r="1360" spans="22:22" x14ac:dyDescent="0.2">
      <c r="V1360" s="62"/>
    </row>
    <row r="1361" spans="22:22" x14ac:dyDescent="0.2">
      <c r="V1361" s="62"/>
    </row>
    <row r="1362" spans="22:22" x14ac:dyDescent="0.2">
      <c r="V1362" s="62"/>
    </row>
    <row r="1363" spans="22:22" x14ac:dyDescent="0.2">
      <c r="V1363" s="62"/>
    </row>
    <row r="1364" spans="22:22" x14ac:dyDescent="0.2">
      <c r="V1364" s="62"/>
    </row>
    <row r="1365" spans="22:22" x14ac:dyDescent="0.2">
      <c r="V1365" s="62"/>
    </row>
    <row r="1366" spans="22:22" x14ac:dyDescent="0.2">
      <c r="V1366" s="62"/>
    </row>
    <row r="1367" spans="22:22" x14ac:dyDescent="0.2">
      <c r="V1367" s="62"/>
    </row>
    <row r="1368" spans="22:22" x14ac:dyDescent="0.2">
      <c r="V1368" s="62"/>
    </row>
    <row r="1369" spans="22:22" x14ac:dyDescent="0.2">
      <c r="V1369" s="62"/>
    </row>
    <row r="1370" spans="22:22" x14ac:dyDescent="0.2">
      <c r="V1370" s="62"/>
    </row>
    <row r="1371" spans="22:22" x14ac:dyDescent="0.2">
      <c r="V1371" s="62"/>
    </row>
    <row r="1372" spans="22:22" x14ac:dyDescent="0.2">
      <c r="V1372" s="62"/>
    </row>
    <row r="1373" spans="22:22" x14ac:dyDescent="0.2">
      <c r="V1373" s="62"/>
    </row>
    <row r="1374" spans="22:22" x14ac:dyDescent="0.2">
      <c r="V1374" s="62"/>
    </row>
    <row r="1375" spans="22:22" x14ac:dyDescent="0.2">
      <c r="V1375" s="62"/>
    </row>
    <row r="1376" spans="22:22" x14ac:dyDescent="0.2">
      <c r="V1376" s="62"/>
    </row>
    <row r="1377" spans="22:22" x14ac:dyDescent="0.2">
      <c r="V1377" s="62"/>
    </row>
    <row r="1378" spans="22:22" x14ac:dyDescent="0.2">
      <c r="V1378" s="62"/>
    </row>
    <row r="1379" spans="22:22" x14ac:dyDescent="0.2">
      <c r="V1379" s="62"/>
    </row>
    <row r="1380" spans="22:22" x14ac:dyDescent="0.2">
      <c r="V1380" s="62"/>
    </row>
    <row r="1381" spans="22:22" x14ac:dyDescent="0.2">
      <c r="V1381" s="62"/>
    </row>
    <row r="1382" spans="22:22" x14ac:dyDescent="0.2">
      <c r="V1382" s="62"/>
    </row>
    <row r="1383" spans="22:22" x14ac:dyDescent="0.2">
      <c r="V1383" s="62"/>
    </row>
    <row r="1384" spans="22:22" x14ac:dyDescent="0.2">
      <c r="V1384" s="62"/>
    </row>
    <row r="1385" spans="22:22" x14ac:dyDescent="0.2">
      <c r="V1385" s="62"/>
    </row>
    <row r="1386" spans="22:22" x14ac:dyDescent="0.2">
      <c r="V1386" s="62"/>
    </row>
    <row r="1387" spans="22:22" x14ac:dyDescent="0.2">
      <c r="V1387" s="62"/>
    </row>
    <row r="1388" spans="22:22" x14ac:dyDescent="0.2">
      <c r="V1388" s="62"/>
    </row>
    <row r="1389" spans="22:22" x14ac:dyDescent="0.2">
      <c r="V1389" s="62"/>
    </row>
    <row r="1390" spans="22:22" x14ac:dyDescent="0.2">
      <c r="V1390" s="62"/>
    </row>
    <row r="1391" spans="22:22" x14ac:dyDescent="0.2">
      <c r="V1391" s="62"/>
    </row>
    <row r="1392" spans="22:22" x14ac:dyDescent="0.2">
      <c r="V1392" s="62"/>
    </row>
    <row r="1393" spans="22:22" x14ac:dyDescent="0.2">
      <c r="V1393" s="62"/>
    </row>
    <row r="1394" spans="22:22" x14ac:dyDescent="0.2">
      <c r="V1394" s="62"/>
    </row>
    <row r="1395" spans="22:22" x14ac:dyDescent="0.2">
      <c r="V1395" s="62"/>
    </row>
    <row r="1396" spans="22:22" x14ac:dyDescent="0.2">
      <c r="V1396" s="62"/>
    </row>
    <row r="1397" spans="22:22" x14ac:dyDescent="0.2">
      <c r="V1397" s="62"/>
    </row>
    <row r="1398" spans="22:22" x14ac:dyDescent="0.2">
      <c r="V1398" s="62"/>
    </row>
    <row r="1399" spans="22:22" x14ac:dyDescent="0.2">
      <c r="V1399" s="62"/>
    </row>
    <row r="1400" spans="22:22" x14ac:dyDescent="0.2">
      <c r="V1400" s="62"/>
    </row>
    <row r="1401" spans="22:22" x14ac:dyDescent="0.2">
      <c r="V1401" s="62"/>
    </row>
    <row r="1402" spans="22:22" x14ac:dyDescent="0.2">
      <c r="V1402" s="62"/>
    </row>
    <row r="1403" spans="22:22" x14ac:dyDescent="0.2">
      <c r="V1403" s="62"/>
    </row>
    <row r="1404" spans="22:22" x14ac:dyDescent="0.2">
      <c r="V1404" s="62"/>
    </row>
    <row r="1405" spans="22:22" x14ac:dyDescent="0.2">
      <c r="V1405" s="62"/>
    </row>
    <row r="1406" spans="22:22" x14ac:dyDescent="0.2">
      <c r="V1406" s="62"/>
    </row>
    <row r="1407" spans="22:22" x14ac:dyDescent="0.2">
      <c r="V1407" s="62"/>
    </row>
    <row r="1408" spans="22:22" x14ac:dyDescent="0.2">
      <c r="V1408" s="62"/>
    </row>
    <row r="1409" spans="22:22" x14ac:dyDescent="0.2">
      <c r="V1409" s="62"/>
    </row>
    <row r="1410" spans="22:22" x14ac:dyDescent="0.2">
      <c r="V1410" s="62"/>
    </row>
    <row r="1411" spans="22:22" x14ac:dyDescent="0.2">
      <c r="V1411" s="62"/>
    </row>
    <row r="1412" spans="22:22" x14ac:dyDescent="0.2">
      <c r="V1412" s="62"/>
    </row>
    <row r="1413" spans="22:22" x14ac:dyDescent="0.2">
      <c r="V1413" s="62"/>
    </row>
    <row r="1414" spans="22:22" x14ac:dyDescent="0.2">
      <c r="V1414" s="62"/>
    </row>
    <row r="1415" spans="22:22" x14ac:dyDescent="0.2">
      <c r="V1415" s="62"/>
    </row>
    <row r="1416" spans="22:22" x14ac:dyDescent="0.2">
      <c r="V1416" s="62"/>
    </row>
    <row r="1417" spans="22:22" x14ac:dyDescent="0.2">
      <c r="V1417" s="62"/>
    </row>
    <row r="1418" spans="22:22" x14ac:dyDescent="0.2">
      <c r="V1418" s="62"/>
    </row>
    <row r="1419" spans="22:22" x14ac:dyDescent="0.2">
      <c r="V1419" s="62"/>
    </row>
    <row r="1420" spans="22:22" x14ac:dyDescent="0.2">
      <c r="V1420" s="62"/>
    </row>
    <row r="1421" spans="22:22" x14ac:dyDescent="0.2">
      <c r="V1421" s="62"/>
    </row>
    <row r="1422" spans="22:22" x14ac:dyDescent="0.2">
      <c r="V1422" s="62"/>
    </row>
    <row r="1423" spans="22:22" x14ac:dyDescent="0.2">
      <c r="V1423" s="62"/>
    </row>
    <row r="1424" spans="22:22" x14ac:dyDescent="0.2">
      <c r="V1424" s="62"/>
    </row>
    <row r="1425" spans="22:22" x14ac:dyDescent="0.2">
      <c r="V1425" s="62"/>
    </row>
    <row r="1426" spans="22:22" x14ac:dyDescent="0.2">
      <c r="V1426" s="62"/>
    </row>
    <row r="1427" spans="22:22" x14ac:dyDescent="0.2">
      <c r="V1427" s="62"/>
    </row>
    <row r="1428" spans="22:22" x14ac:dyDescent="0.2">
      <c r="V1428" s="62"/>
    </row>
    <row r="1429" spans="22:22" x14ac:dyDescent="0.2">
      <c r="V1429" s="62"/>
    </row>
    <row r="1430" spans="22:22" x14ac:dyDescent="0.2">
      <c r="V1430" s="62"/>
    </row>
    <row r="1431" spans="22:22" x14ac:dyDescent="0.2">
      <c r="V1431" s="62"/>
    </row>
    <row r="1432" spans="22:22" x14ac:dyDescent="0.2">
      <c r="V1432" s="62"/>
    </row>
    <row r="1433" spans="22:22" x14ac:dyDescent="0.2">
      <c r="V1433" s="62"/>
    </row>
    <row r="1434" spans="22:22" x14ac:dyDescent="0.2">
      <c r="V1434" s="62"/>
    </row>
    <row r="1435" spans="22:22" x14ac:dyDescent="0.2">
      <c r="V1435" s="62"/>
    </row>
    <row r="1436" spans="22:22" x14ac:dyDescent="0.2">
      <c r="V1436" s="62"/>
    </row>
    <row r="1437" spans="22:22" x14ac:dyDescent="0.2">
      <c r="V1437" s="62"/>
    </row>
    <row r="1438" spans="22:22" x14ac:dyDescent="0.2">
      <c r="V1438" s="62"/>
    </row>
    <row r="1439" spans="22:22" x14ac:dyDescent="0.2">
      <c r="V1439" s="62"/>
    </row>
    <row r="1440" spans="22:22" x14ac:dyDescent="0.2">
      <c r="V1440" s="62"/>
    </row>
    <row r="1441" spans="22:22" x14ac:dyDescent="0.2">
      <c r="V1441" s="62"/>
    </row>
    <row r="1442" spans="22:22" x14ac:dyDescent="0.2">
      <c r="V1442" s="62"/>
    </row>
    <row r="1443" spans="22:22" x14ac:dyDescent="0.2">
      <c r="V1443" s="62"/>
    </row>
    <row r="1444" spans="22:22" x14ac:dyDescent="0.2">
      <c r="V1444" s="62"/>
    </row>
    <row r="1445" spans="22:22" x14ac:dyDescent="0.2">
      <c r="V1445" s="62"/>
    </row>
    <row r="1446" spans="22:22" x14ac:dyDescent="0.2">
      <c r="V1446" s="62"/>
    </row>
    <row r="1447" spans="22:22" x14ac:dyDescent="0.2">
      <c r="V1447" s="62"/>
    </row>
    <row r="1448" spans="22:22" x14ac:dyDescent="0.2">
      <c r="V1448" s="62"/>
    </row>
    <row r="1449" spans="22:22" x14ac:dyDescent="0.2">
      <c r="V1449" s="62"/>
    </row>
    <row r="1450" spans="22:22" x14ac:dyDescent="0.2">
      <c r="V1450" s="62"/>
    </row>
    <row r="1451" spans="22:22" x14ac:dyDescent="0.2">
      <c r="V1451" s="62"/>
    </row>
    <row r="1452" spans="22:22" x14ac:dyDescent="0.2">
      <c r="V1452" s="62"/>
    </row>
    <row r="1453" spans="22:22" x14ac:dyDescent="0.2">
      <c r="V1453" s="62"/>
    </row>
    <row r="1454" spans="22:22" x14ac:dyDescent="0.2">
      <c r="V1454" s="62"/>
    </row>
    <row r="1455" spans="22:22" x14ac:dyDescent="0.2">
      <c r="V1455" s="62"/>
    </row>
    <row r="1456" spans="22:22" x14ac:dyDescent="0.2">
      <c r="V1456" s="62"/>
    </row>
    <row r="1457" spans="22:22" x14ac:dyDescent="0.2">
      <c r="V1457" s="62"/>
    </row>
    <row r="1458" spans="22:22" x14ac:dyDescent="0.2">
      <c r="V1458" s="62"/>
    </row>
    <row r="1459" spans="22:22" x14ac:dyDescent="0.2">
      <c r="V1459" s="62"/>
    </row>
    <row r="1460" spans="22:22" x14ac:dyDescent="0.2">
      <c r="V1460" s="62"/>
    </row>
    <row r="1461" spans="22:22" x14ac:dyDescent="0.2">
      <c r="V1461" s="62"/>
    </row>
    <row r="1462" spans="22:22" x14ac:dyDescent="0.2">
      <c r="V1462" s="62"/>
    </row>
    <row r="1463" spans="22:22" x14ac:dyDescent="0.2">
      <c r="V1463" s="62"/>
    </row>
    <row r="1464" spans="22:22" x14ac:dyDescent="0.2">
      <c r="V1464" s="62"/>
    </row>
    <row r="1465" spans="22:22" x14ac:dyDescent="0.2">
      <c r="V1465" s="62"/>
    </row>
    <row r="1466" spans="22:22" x14ac:dyDescent="0.2">
      <c r="V1466" s="62"/>
    </row>
    <row r="1467" spans="22:22" x14ac:dyDescent="0.2">
      <c r="V1467" s="62"/>
    </row>
    <row r="1468" spans="22:22" x14ac:dyDescent="0.2">
      <c r="V1468" s="62"/>
    </row>
    <row r="1469" spans="22:22" x14ac:dyDescent="0.2">
      <c r="V1469" s="62"/>
    </row>
    <row r="1470" spans="22:22" x14ac:dyDescent="0.2">
      <c r="V1470" s="62"/>
    </row>
    <row r="1471" spans="22:22" x14ac:dyDescent="0.2">
      <c r="V1471" s="62"/>
    </row>
    <row r="1472" spans="22:22" x14ac:dyDescent="0.2">
      <c r="V1472" s="62"/>
    </row>
    <row r="1473" spans="22:22" x14ac:dyDescent="0.2">
      <c r="V1473" s="62"/>
    </row>
    <row r="1474" spans="22:22" x14ac:dyDescent="0.2">
      <c r="V1474" s="62"/>
    </row>
    <row r="1475" spans="22:22" x14ac:dyDescent="0.2">
      <c r="V1475" s="62"/>
    </row>
    <row r="1476" spans="22:22" x14ac:dyDescent="0.2">
      <c r="V1476" s="62"/>
    </row>
    <row r="1477" spans="22:22" x14ac:dyDescent="0.2">
      <c r="V1477" s="62"/>
    </row>
    <row r="1478" spans="22:22" x14ac:dyDescent="0.2">
      <c r="V1478" s="62"/>
    </row>
    <row r="1479" spans="22:22" x14ac:dyDescent="0.2">
      <c r="V1479" s="62"/>
    </row>
    <row r="1480" spans="22:22" x14ac:dyDescent="0.2">
      <c r="V1480" s="62"/>
    </row>
    <row r="1481" spans="22:22" x14ac:dyDescent="0.2">
      <c r="V1481" s="62"/>
    </row>
    <row r="1482" spans="22:22" x14ac:dyDescent="0.2">
      <c r="V1482" s="62"/>
    </row>
    <row r="1483" spans="22:22" x14ac:dyDescent="0.2">
      <c r="V1483" s="62"/>
    </row>
    <row r="1484" spans="22:22" x14ac:dyDescent="0.2">
      <c r="V1484" s="62"/>
    </row>
    <row r="1485" spans="22:22" x14ac:dyDescent="0.2">
      <c r="V1485" s="62"/>
    </row>
    <row r="1486" spans="22:22" x14ac:dyDescent="0.2">
      <c r="V1486" s="62"/>
    </row>
    <row r="1487" spans="22:22" x14ac:dyDescent="0.2">
      <c r="V1487" s="62"/>
    </row>
    <row r="1488" spans="22:22" x14ac:dyDescent="0.2">
      <c r="V1488" s="62"/>
    </row>
    <row r="1489" spans="22:22" x14ac:dyDescent="0.2">
      <c r="V1489" s="62"/>
    </row>
    <row r="1490" spans="22:22" x14ac:dyDescent="0.2">
      <c r="V1490" s="62"/>
    </row>
    <row r="1491" spans="22:22" x14ac:dyDescent="0.2">
      <c r="V1491" s="62"/>
    </row>
    <row r="1492" spans="22:22" x14ac:dyDescent="0.2">
      <c r="V1492" s="62"/>
    </row>
    <row r="1493" spans="22:22" x14ac:dyDescent="0.2">
      <c r="V1493" s="62"/>
    </row>
    <row r="1494" spans="22:22" x14ac:dyDescent="0.2">
      <c r="V1494" s="62"/>
    </row>
    <row r="1495" spans="22:22" x14ac:dyDescent="0.2">
      <c r="V1495" s="62"/>
    </row>
    <row r="1496" spans="22:22" x14ac:dyDescent="0.2">
      <c r="V1496" s="62"/>
    </row>
    <row r="1497" spans="22:22" x14ac:dyDescent="0.2">
      <c r="V1497" s="62"/>
    </row>
    <row r="1498" spans="22:22" x14ac:dyDescent="0.2">
      <c r="V1498" s="62"/>
    </row>
    <row r="1499" spans="22:22" x14ac:dyDescent="0.2">
      <c r="V1499" s="62"/>
    </row>
    <row r="1500" spans="22:22" x14ac:dyDescent="0.2">
      <c r="V1500" s="62"/>
    </row>
    <row r="1501" spans="22:22" x14ac:dyDescent="0.2">
      <c r="V1501" s="62"/>
    </row>
    <row r="1502" spans="22:22" x14ac:dyDescent="0.2">
      <c r="V1502" s="62"/>
    </row>
    <row r="1503" spans="22:22" x14ac:dyDescent="0.2">
      <c r="V1503" s="62"/>
    </row>
    <row r="1504" spans="22:22" x14ac:dyDescent="0.2">
      <c r="V1504" s="62"/>
    </row>
    <row r="1505" spans="22:22" x14ac:dyDescent="0.2">
      <c r="V1505" s="62"/>
    </row>
    <row r="1506" spans="22:22" x14ac:dyDescent="0.2">
      <c r="V1506" s="62"/>
    </row>
    <row r="1507" spans="22:22" x14ac:dyDescent="0.2">
      <c r="V1507" s="62"/>
    </row>
    <row r="1508" spans="22:22" x14ac:dyDescent="0.2">
      <c r="V1508" s="62"/>
    </row>
    <row r="1509" spans="22:22" x14ac:dyDescent="0.2">
      <c r="V1509" s="62"/>
    </row>
    <row r="1510" spans="22:22" x14ac:dyDescent="0.2">
      <c r="V1510" s="62"/>
    </row>
    <row r="1511" spans="22:22" x14ac:dyDescent="0.2">
      <c r="V1511" s="62"/>
    </row>
    <row r="1512" spans="22:22" x14ac:dyDescent="0.2">
      <c r="V1512" s="62"/>
    </row>
    <row r="1513" spans="22:22" x14ac:dyDescent="0.2">
      <c r="V1513" s="62"/>
    </row>
    <row r="1514" spans="22:22" x14ac:dyDescent="0.2">
      <c r="V1514" s="62"/>
    </row>
    <row r="1515" spans="22:22" x14ac:dyDescent="0.2">
      <c r="V1515" s="62"/>
    </row>
    <row r="1516" spans="22:22" x14ac:dyDescent="0.2">
      <c r="V1516" s="62"/>
    </row>
    <row r="1517" spans="22:22" x14ac:dyDescent="0.2">
      <c r="V1517" s="62"/>
    </row>
    <row r="1518" spans="22:22" x14ac:dyDescent="0.2">
      <c r="V1518" s="62"/>
    </row>
    <row r="1519" spans="22:22" x14ac:dyDescent="0.2">
      <c r="V1519" s="62"/>
    </row>
    <row r="1520" spans="22:22" x14ac:dyDescent="0.2">
      <c r="V1520" s="62"/>
    </row>
    <row r="1521" spans="22:22" x14ac:dyDescent="0.2">
      <c r="V1521" s="62"/>
    </row>
    <row r="1522" spans="22:22" x14ac:dyDescent="0.2">
      <c r="V1522" s="62"/>
    </row>
    <row r="1523" spans="22:22" x14ac:dyDescent="0.2">
      <c r="V1523" s="62"/>
    </row>
    <row r="1524" spans="22:22" x14ac:dyDescent="0.2">
      <c r="V1524" s="62"/>
    </row>
    <row r="1525" spans="22:22" x14ac:dyDescent="0.2">
      <c r="V1525" s="62"/>
    </row>
    <row r="1526" spans="22:22" x14ac:dyDescent="0.2">
      <c r="V1526" s="62"/>
    </row>
    <row r="1527" spans="22:22" x14ac:dyDescent="0.2">
      <c r="V1527" s="62"/>
    </row>
    <row r="1528" spans="22:22" x14ac:dyDescent="0.2">
      <c r="V1528" s="62"/>
    </row>
    <row r="1529" spans="22:22" x14ac:dyDescent="0.2">
      <c r="V1529" s="62"/>
    </row>
    <row r="1530" spans="22:22" x14ac:dyDescent="0.2">
      <c r="V1530" s="62"/>
    </row>
    <row r="1531" spans="22:22" x14ac:dyDescent="0.2">
      <c r="V1531" s="62"/>
    </row>
    <row r="1532" spans="22:22" x14ac:dyDescent="0.2">
      <c r="V1532" s="62"/>
    </row>
    <row r="1533" spans="22:22" x14ac:dyDescent="0.2">
      <c r="V1533" s="62"/>
    </row>
    <row r="1534" spans="22:22" x14ac:dyDescent="0.2">
      <c r="V1534" s="62"/>
    </row>
    <row r="1535" spans="22:22" x14ac:dyDescent="0.2">
      <c r="V1535" s="62"/>
    </row>
    <row r="1536" spans="22:22" x14ac:dyDescent="0.2">
      <c r="V1536" s="62"/>
    </row>
    <row r="1537" spans="22:22" x14ac:dyDescent="0.2">
      <c r="V1537" s="62"/>
    </row>
    <row r="1538" spans="22:22" x14ac:dyDescent="0.2">
      <c r="V1538" s="62"/>
    </row>
    <row r="1539" spans="22:22" x14ac:dyDescent="0.2">
      <c r="V1539" s="62"/>
    </row>
    <row r="1540" spans="22:22" x14ac:dyDescent="0.2">
      <c r="V1540" s="62"/>
    </row>
    <row r="1541" spans="22:22" x14ac:dyDescent="0.2">
      <c r="V1541" s="62"/>
    </row>
    <row r="1542" spans="22:22" x14ac:dyDescent="0.2">
      <c r="V1542" s="62"/>
    </row>
    <row r="1543" spans="22:22" x14ac:dyDescent="0.2">
      <c r="V1543" s="62"/>
    </row>
    <row r="1544" spans="22:22" x14ac:dyDescent="0.2">
      <c r="V1544" s="62"/>
    </row>
    <row r="1545" spans="22:22" x14ac:dyDescent="0.2">
      <c r="V1545" s="62"/>
    </row>
    <row r="1546" spans="22:22" x14ac:dyDescent="0.2">
      <c r="V1546" s="62"/>
    </row>
    <row r="1547" spans="22:22" x14ac:dyDescent="0.2">
      <c r="V1547" s="62"/>
    </row>
    <row r="1548" spans="22:22" x14ac:dyDescent="0.2">
      <c r="V1548" s="62"/>
    </row>
    <row r="1549" spans="22:22" x14ac:dyDescent="0.2">
      <c r="V1549" s="62"/>
    </row>
    <row r="1550" spans="22:22" x14ac:dyDescent="0.2">
      <c r="V1550" s="62"/>
    </row>
    <row r="1551" spans="22:22" x14ac:dyDescent="0.2">
      <c r="V1551" s="62"/>
    </row>
    <row r="1552" spans="22:22" x14ac:dyDescent="0.2">
      <c r="V1552" s="62"/>
    </row>
    <row r="1553" spans="22:22" x14ac:dyDescent="0.2">
      <c r="V1553" s="62"/>
    </row>
    <row r="1554" spans="22:22" x14ac:dyDescent="0.2">
      <c r="V1554" s="62"/>
    </row>
    <row r="1555" spans="22:22" x14ac:dyDescent="0.2">
      <c r="V1555" s="62"/>
    </row>
    <row r="1556" spans="22:22" x14ac:dyDescent="0.2">
      <c r="V1556" s="62"/>
    </row>
    <row r="1557" spans="22:22" x14ac:dyDescent="0.2">
      <c r="V1557" s="62"/>
    </row>
    <row r="1558" spans="22:22" x14ac:dyDescent="0.2">
      <c r="V1558" s="62"/>
    </row>
    <row r="1559" spans="22:22" x14ac:dyDescent="0.2">
      <c r="V1559" s="62"/>
    </row>
    <row r="1560" spans="22:22" x14ac:dyDescent="0.2">
      <c r="V1560" s="62"/>
    </row>
    <row r="1561" spans="22:22" x14ac:dyDescent="0.2">
      <c r="V1561" s="62"/>
    </row>
    <row r="1562" spans="22:22" x14ac:dyDescent="0.2">
      <c r="V1562" s="62"/>
    </row>
    <row r="1563" spans="22:22" x14ac:dyDescent="0.2">
      <c r="V1563" s="62"/>
    </row>
    <row r="1564" spans="22:22" x14ac:dyDescent="0.2">
      <c r="V1564" s="62"/>
    </row>
    <row r="1565" spans="22:22" x14ac:dyDescent="0.2">
      <c r="V1565" s="62"/>
    </row>
    <row r="1566" spans="22:22" x14ac:dyDescent="0.2">
      <c r="V1566" s="62"/>
    </row>
    <row r="1567" spans="22:22" x14ac:dyDescent="0.2">
      <c r="V1567" s="62"/>
    </row>
    <row r="1568" spans="22:22" x14ac:dyDescent="0.2">
      <c r="V1568" s="62"/>
    </row>
    <row r="1569" spans="22:22" x14ac:dyDescent="0.2">
      <c r="V1569" s="62"/>
    </row>
    <row r="1570" spans="22:22" x14ac:dyDescent="0.2">
      <c r="V1570" s="62"/>
    </row>
    <row r="1571" spans="22:22" x14ac:dyDescent="0.2">
      <c r="V1571" s="62"/>
    </row>
    <row r="1572" spans="22:22" x14ac:dyDescent="0.2">
      <c r="V1572" s="62"/>
    </row>
    <row r="1573" spans="22:22" x14ac:dyDescent="0.2">
      <c r="V1573" s="62"/>
    </row>
    <row r="1574" spans="22:22" x14ac:dyDescent="0.2">
      <c r="V1574" s="62"/>
    </row>
    <row r="1575" spans="22:22" x14ac:dyDescent="0.2">
      <c r="V1575" s="62"/>
    </row>
    <row r="1576" spans="22:22" x14ac:dyDescent="0.2">
      <c r="V1576" s="62"/>
    </row>
    <row r="1577" spans="22:22" x14ac:dyDescent="0.2">
      <c r="V1577" s="62"/>
    </row>
    <row r="1578" spans="22:22" x14ac:dyDescent="0.2">
      <c r="V1578" s="62"/>
    </row>
    <row r="1579" spans="22:22" x14ac:dyDescent="0.2">
      <c r="V1579" s="62"/>
    </row>
    <row r="1580" spans="22:22" x14ac:dyDescent="0.2">
      <c r="V1580" s="62"/>
    </row>
    <row r="1581" spans="22:22" x14ac:dyDescent="0.2">
      <c r="V1581" s="62"/>
    </row>
    <row r="1582" spans="22:22" x14ac:dyDescent="0.2">
      <c r="V1582" s="62"/>
    </row>
    <row r="1583" spans="22:22" x14ac:dyDescent="0.2">
      <c r="V1583" s="62"/>
    </row>
    <row r="1584" spans="22:22" x14ac:dyDescent="0.2">
      <c r="V1584" s="62"/>
    </row>
    <row r="1585" spans="22:22" x14ac:dyDescent="0.2">
      <c r="V1585" s="62"/>
    </row>
    <row r="1586" spans="22:22" x14ac:dyDescent="0.2">
      <c r="V1586" s="62"/>
    </row>
    <row r="1587" spans="22:22" x14ac:dyDescent="0.2">
      <c r="V1587" s="62"/>
    </row>
    <row r="1588" spans="22:22" x14ac:dyDescent="0.2">
      <c r="V1588" s="62"/>
    </row>
    <row r="1589" spans="22:22" x14ac:dyDescent="0.2">
      <c r="V1589" s="62"/>
    </row>
    <row r="1590" spans="22:22" x14ac:dyDescent="0.2">
      <c r="V1590" s="62"/>
    </row>
    <row r="1591" spans="22:22" x14ac:dyDescent="0.2">
      <c r="V1591" s="62"/>
    </row>
    <row r="1592" spans="22:22" x14ac:dyDescent="0.2">
      <c r="V1592" s="62"/>
    </row>
    <row r="1593" spans="22:22" x14ac:dyDescent="0.2">
      <c r="V1593" s="62"/>
    </row>
    <row r="1594" spans="22:22" x14ac:dyDescent="0.2">
      <c r="V1594" s="62"/>
    </row>
    <row r="1595" spans="22:22" x14ac:dyDescent="0.2">
      <c r="V1595" s="62"/>
    </row>
    <row r="1596" spans="22:22" x14ac:dyDescent="0.2">
      <c r="V1596" s="62"/>
    </row>
    <row r="1597" spans="22:22" x14ac:dyDescent="0.2">
      <c r="V1597" s="62"/>
    </row>
    <row r="1598" spans="22:22" x14ac:dyDescent="0.2">
      <c r="V1598" s="62"/>
    </row>
    <row r="1599" spans="22:22" x14ac:dyDescent="0.2">
      <c r="V1599" s="62"/>
    </row>
    <row r="1600" spans="22:22" x14ac:dyDescent="0.2">
      <c r="V1600" s="62"/>
    </row>
    <row r="1601" spans="22:22" x14ac:dyDescent="0.2">
      <c r="V1601" s="62"/>
    </row>
    <row r="1602" spans="22:22" x14ac:dyDescent="0.2">
      <c r="V1602" s="62"/>
    </row>
    <row r="1603" spans="22:22" x14ac:dyDescent="0.2">
      <c r="V1603" s="62"/>
    </row>
    <row r="1604" spans="22:22" x14ac:dyDescent="0.2">
      <c r="V1604" s="62"/>
    </row>
    <row r="1605" spans="22:22" x14ac:dyDescent="0.2">
      <c r="V1605" s="62"/>
    </row>
    <row r="1606" spans="22:22" x14ac:dyDescent="0.2">
      <c r="V1606" s="62"/>
    </row>
    <row r="1607" spans="22:22" x14ac:dyDescent="0.2">
      <c r="V1607" s="62"/>
    </row>
    <row r="1608" spans="22:22" x14ac:dyDescent="0.2">
      <c r="V1608" s="62"/>
    </row>
    <row r="1609" spans="22:22" x14ac:dyDescent="0.2">
      <c r="V1609" s="62"/>
    </row>
    <row r="1610" spans="22:22" x14ac:dyDescent="0.2">
      <c r="V1610" s="62"/>
    </row>
    <row r="1611" spans="22:22" x14ac:dyDescent="0.2">
      <c r="V1611" s="62"/>
    </row>
    <row r="1612" spans="22:22" x14ac:dyDescent="0.2">
      <c r="V1612" s="62"/>
    </row>
    <row r="1613" spans="22:22" x14ac:dyDescent="0.2">
      <c r="V1613" s="62"/>
    </row>
    <row r="1614" spans="22:22" x14ac:dyDescent="0.2">
      <c r="V1614" s="62"/>
    </row>
    <row r="1615" spans="22:22" x14ac:dyDescent="0.2">
      <c r="V1615" s="62"/>
    </row>
    <row r="1616" spans="22:22" x14ac:dyDescent="0.2">
      <c r="V1616" s="62"/>
    </row>
    <row r="1617" spans="22:22" x14ac:dyDescent="0.2">
      <c r="V1617" s="62"/>
    </row>
    <row r="1618" spans="22:22" x14ac:dyDescent="0.2">
      <c r="V1618" s="62"/>
    </row>
    <row r="1619" spans="22:22" x14ac:dyDescent="0.2">
      <c r="V1619" s="62"/>
    </row>
    <row r="1620" spans="22:22" x14ac:dyDescent="0.2">
      <c r="V1620" s="62"/>
    </row>
    <row r="1621" spans="22:22" x14ac:dyDescent="0.2">
      <c r="V1621" s="62"/>
    </row>
    <row r="1622" spans="22:22" x14ac:dyDescent="0.2">
      <c r="V1622" s="62"/>
    </row>
    <row r="1623" spans="22:22" x14ac:dyDescent="0.2">
      <c r="V1623" s="62"/>
    </row>
    <row r="1624" spans="22:22" x14ac:dyDescent="0.2">
      <c r="V1624" s="62"/>
    </row>
    <row r="1625" spans="22:22" x14ac:dyDescent="0.2">
      <c r="V1625" s="62"/>
    </row>
    <row r="1626" spans="22:22" x14ac:dyDescent="0.2">
      <c r="V1626" s="62"/>
    </row>
    <row r="1627" spans="22:22" x14ac:dyDescent="0.2">
      <c r="V1627" s="62"/>
    </row>
    <row r="1628" spans="22:22" x14ac:dyDescent="0.2">
      <c r="V1628" s="62"/>
    </row>
    <row r="1629" spans="22:22" x14ac:dyDescent="0.2">
      <c r="V1629" s="62"/>
    </row>
    <row r="1630" spans="22:22" x14ac:dyDescent="0.2">
      <c r="V1630" s="62"/>
    </row>
    <row r="1631" spans="22:22" x14ac:dyDescent="0.2">
      <c r="V1631" s="62"/>
    </row>
    <row r="1632" spans="22:22" x14ac:dyDescent="0.2">
      <c r="V1632" s="62"/>
    </row>
    <row r="1633" spans="22:22" x14ac:dyDescent="0.2">
      <c r="V1633" s="62"/>
    </row>
    <row r="1634" spans="22:22" x14ac:dyDescent="0.2">
      <c r="V1634" s="62"/>
    </row>
    <row r="1635" spans="22:22" x14ac:dyDescent="0.2">
      <c r="V1635" s="62"/>
    </row>
    <row r="1636" spans="22:22" x14ac:dyDescent="0.2">
      <c r="V1636" s="62"/>
    </row>
    <row r="1637" spans="22:22" x14ac:dyDescent="0.2">
      <c r="V1637" s="62"/>
    </row>
    <row r="1638" spans="22:22" x14ac:dyDescent="0.2">
      <c r="V1638" s="62"/>
    </row>
    <row r="1639" spans="22:22" x14ac:dyDescent="0.2">
      <c r="V1639" s="62"/>
    </row>
    <row r="1640" spans="22:22" x14ac:dyDescent="0.2">
      <c r="V1640" s="62"/>
    </row>
    <row r="1641" spans="22:22" x14ac:dyDescent="0.2">
      <c r="V1641" s="62"/>
    </row>
    <row r="1642" spans="22:22" x14ac:dyDescent="0.2">
      <c r="V1642" s="62"/>
    </row>
    <row r="1643" spans="22:22" x14ac:dyDescent="0.2">
      <c r="V1643" s="62"/>
    </row>
    <row r="1644" spans="22:22" x14ac:dyDescent="0.2">
      <c r="V1644" s="62"/>
    </row>
    <row r="1645" spans="22:22" x14ac:dyDescent="0.2">
      <c r="V1645" s="62"/>
    </row>
    <row r="1646" spans="22:22" x14ac:dyDescent="0.2">
      <c r="V1646" s="62"/>
    </row>
    <row r="1647" spans="22:22" x14ac:dyDescent="0.2">
      <c r="V1647" s="62"/>
    </row>
    <row r="1648" spans="22:22" x14ac:dyDescent="0.2">
      <c r="V1648" s="62"/>
    </row>
    <row r="1649" spans="22:22" x14ac:dyDescent="0.2">
      <c r="V1649" s="62"/>
    </row>
    <row r="1650" spans="22:22" x14ac:dyDescent="0.2">
      <c r="V1650" s="62"/>
    </row>
    <row r="1651" spans="22:22" x14ac:dyDescent="0.2">
      <c r="V1651" s="62"/>
    </row>
    <row r="1652" spans="22:22" x14ac:dyDescent="0.2">
      <c r="V1652" s="62"/>
    </row>
    <row r="1653" spans="22:22" x14ac:dyDescent="0.2">
      <c r="V1653" s="62"/>
    </row>
    <row r="1654" spans="22:22" x14ac:dyDescent="0.2">
      <c r="V1654" s="62"/>
    </row>
    <row r="1655" spans="22:22" x14ac:dyDescent="0.2">
      <c r="V1655" s="62"/>
    </row>
    <row r="1656" spans="22:22" x14ac:dyDescent="0.2">
      <c r="V1656" s="62"/>
    </row>
    <row r="1657" spans="22:22" x14ac:dyDescent="0.2">
      <c r="V1657" s="62"/>
    </row>
    <row r="1658" spans="22:22" x14ac:dyDescent="0.2">
      <c r="V1658" s="62"/>
    </row>
    <row r="1659" spans="22:22" x14ac:dyDescent="0.2">
      <c r="V1659" s="62"/>
    </row>
    <row r="1660" spans="22:22" x14ac:dyDescent="0.2">
      <c r="V1660" s="62"/>
    </row>
    <row r="1661" spans="22:22" x14ac:dyDescent="0.2">
      <c r="V1661" s="62"/>
    </row>
    <row r="1662" spans="22:22" x14ac:dyDescent="0.2">
      <c r="V1662" s="62"/>
    </row>
    <row r="1663" spans="22:22" x14ac:dyDescent="0.2">
      <c r="V1663" s="62"/>
    </row>
    <row r="1664" spans="22:22" x14ac:dyDescent="0.2">
      <c r="V1664" s="62"/>
    </row>
    <row r="1665" spans="22:22" x14ac:dyDescent="0.2">
      <c r="V1665" s="62"/>
    </row>
    <row r="1666" spans="22:22" x14ac:dyDescent="0.2">
      <c r="V1666" s="62"/>
    </row>
    <row r="1667" spans="22:22" x14ac:dyDescent="0.2">
      <c r="V1667" s="62"/>
    </row>
    <row r="1668" spans="22:22" x14ac:dyDescent="0.2">
      <c r="V1668" s="62"/>
    </row>
    <row r="1669" spans="22:22" x14ac:dyDescent="0.2">
      <c r="V1669" s="62"/>
    </row>
    <row r="1670" spans="22:22" x14ac:dyDescent="0.2">
      <c r="V1670" s="62"/>
    </row>
    <row r="1671" spans="22:22" x14ac:dyDescent="0.2">
      <c r="V1671" s="62"/>
    </row>
    <row r="1672" spans="22:22" x14ac:dyDescent="0.2">
      <c r="V1672" s="62"/>
    </row>
    <row r="1673" spans="22:22" x14ac:dyDescent="0.2">
      <c r="V1673" s="62"/>
    </row>
    <row r="1674" spans="22:22" x14ac:dyDescent="0.2">
      <c r="V1674" s="62"/>
    </row>
    <row r="1675" spans="22:22" x14ac:dyDescent="0.2">
      <c r="V1675" s="62"/>
    </row>
    <row r="1676" spans="22:22" x14ac:dyDescent="0.2">
      <c r="V1676" s="62"/>
    </row>
    <row r="1677" spans="22:22" x14ac:dyDescent="0.2">
      <c r="V1677" s="62"/>
    </row>
    <row r="1678" spans="22:22" x14ac:dyDescent="0.2">
      <c r="V1678" s="62"/>
    </row>
    <row r="1679" spans="22:22" x14ac:dyDescent="0.2">
      <c r="V1679" s="62"/>
    </row>
    <row r="1680" spans="22:22" x14ac:dyDescent="0.2">
      <c r="V1680" s="62"/>
    </row>
    <row r="1681" spans="22:22" x14ac:dyDescent="0.2">
      <c r="V1681" s="62"/>
    </row>
    <row r="1682" spans="22:22" x14ac:dyDescent="0.2">
      <c r="V1682" s="62"/>
    </row>
    <row r="1683" spans="22:22" x14ac:dyDescent="0.2">
      <c r="V1683" s="62"/>
    </row>
    <row r="1684" spans="22:22" x14ac:dyDescent="0.2">
      <c r="V1684" s="62"/>
    </row>
    <row r="1685" spans="22:22" x14ac:dyDescent="0.2">
      <c r="V1685" s="62"/>
    </row>
    <row r="1686" spans="22:22" x14ac:dyDescent="0.2">
      <c r="V1686" s="62"/>
    </row>
    <row r="1687" spans="22:22" x14ac:dyDescent="0.2">
      <c r="V1687" s="62"/>
    </row>
    <row r="1688" spans="22:22" x14ac:dyDescent="0.2">
      <c r="V1688" s="62"/>
    </row>
    <row r="1689" spans="22:22" x14ac:dyDescent="0.2">
      <c r="V1689" s="62"/>
    </row>
    <row r="1690" spans="22:22" x14ac:dyDescent="0.2">
      <c r="V1690" s="62"/>
    </row>
    <row r="1691" spans="22:22" x14ac:dyDescent="0.2">
      <c r="V1691" s="62"/>
    </row>
    <row r="1692" spans="22:22" x14ac:dyDescent="0.2">
      <c r="V1692" s="62"/>
    </row>
    <row r="1693" spans="22:22" x14ac:dyDescent="0.2">
      <c r="V1693" s="62"/>
    </row>
    <row r="1694" spans="22:22" x14ac:dyDescent="0.2">
      <c r="V1694" s="62"/>
    </row>
    <row r="1695" spans="22:22" x14ac:dyDescent="0.2">
      <c r="V1695" s="62"/>
    </row>
    <row r="1696" spans="22:22" x14ac:dyDescent="0.2">
      <c r="V1696" s="62"/>
    </row>
    <row r="1697" spans="22:22" x14ac:dyDescent="0.2">
      <c r="V1697" s="62"/>
    </row>
    <row r="1698" spans="22:22" x14ac:dyDescent="0.2">
      <c r="V1698" s="62"/>
    </row>
    <row r="1699" spans="22:22" x14ac:dyDescent="0.2">
      <c r="V1699" s="62"/>
    </row>
    <row r="1700" spans="22:22" x14ac:dyDescent="0.2">
      <c r="V1700" s="62"/>
    </row>
    <row r="1701" spans="22:22" x14ac:dyDescent="0.2">
      <c r="V1701" s="62"/>
    </row>
    <row r="1702" spans="22:22" x14ac:dyDescent="0.2">
      <c r="V1702" s="62"/>
    </row>
    <row r="1703" spans="22:22" x14ac:dyDescent="0.2">
      <c r="V1703" s="62"/>
    </row>
    <row r="1704" spans="22:22" x14ac:dyDescent="0.2">
      <c r="V1704" s="62"/>
    </row>
    <row r="1705" spans="22:22" x14ac:dyDescent="0.2">
      <c r="V1705" s="62"/>
    </row>
    <row r="1706" spans="22:22" x14ac:dyDescent="0.2">
      <c r="V1706" s="62"/>
    </row>
    <row r="1707" spans="22:22" x14ac:dyDescent="0.2">
      <c r="V1707" s="62"/>
    </row>
    <row r="1708" spans="22:22" x14ac:dyDescent="0.2">
      <c r="V1708" s="62"/>
    </row>
    <row r="1709" spans="22:22" x14ac:dyDescent="0.2">
      <c r="V1709" s="62"/>
    </row>
    <row r="1710" spans="22:22" x14ac:dyDescent="0.2">
      <c r="V1710" s="62"/>
    </row>
    <row r="1711" spans="22:22" x14ac:dyDescent="0.2">
      <c r="V1711" s="62"/>
    </row>
    <row r="1712" spans="22:22" x14ac:dyDescent="0.2">
      <c r="V1712" s="62"/>
    </row>
    <row r="1713" spans="22:22" x14ac:dyDescent="0.2">
      <c r="V1713" s="62"/>
    </row>
    <row r="1714" spans="22:22" x14ac:dyDescent="0.2">
      <c r="V1714" s="62"/>
    </row>
    <row r="1715" spans="22:22" x14ac:dyDescent="0.2">
      <c r="V1715" s="62"/>
    </row>
    <row r="1716" spans="22:22" x14ac:dyDescent="0.2">
      <c r="V1716" s="62"/>
    </row>
    <row r="1717" spans="22:22" x14ac:dyDescent="0.2">
      <c r="V1717" s="62"/>
    </row>
    <row r="1718" spans="22:22" x14ac:dyDescent="0.2">
      <c r="V1718" s="62"/>
    </row>
    <row r="1719" spans="22:22" x14ac:dyDescent="0.2">
      <c r="V1719" s="62"/>
    </row>
    <row r="1720" spans="22:22" x14ac:dyDescent="0.2">
      <c r="V1720" s="62"/>
    </row>
    <row r="1721" spans="22:22" x14ac:dyDescent="0.2">
      <c r="V1721" s="62"/>
    </row>
    <row r="1722" spans="22:22" x14ac:dyDescent="0.2">
      <c r="V1722" s="62"/>
    </row>
    <row r="1723" spans="22:22" x14ac:dyDescent="0.2">
      <c r="V1723" s="62"/>
    </row>
    <row r="1724" spans="22:22" x14ac:dyDescent="0.2">
      <c r="V1724" s="62"/>
    </row>
    <row r="1725" spans="22:22" x14ac:dyDescent="0.2">
      <c r="V1725" s="62"/>
    </row>
    <row r="1726" spans="22:22" x14ac:dyDescent="0.2">
      <c r="V1726" s="62"/>
    </row>
    <row r="1727" spans="22:22" x14ac:dyDescent="0.2">
      <c r="V1727" s="62"/>
    </row>
    <row r="1728" spans="22:22" x14ac:dyDescent="0.2">
      <c r="V1728" s="62"/>
    </row>
    <row r="1729" spans="22:22" x14ac:dyDescent="0.2">
      <c r="V1729" s="62"/>
    </row>
    <row r="1730" spans="22:22" x14ac:dyDescent="0.2">
      <c r="V1730" s="62"/>
    </row>
    <row r="1731" spans="22:22" x14ac:dyDescent="0.2">
      <c r="V1731" s="62"/>
    </row>
    <row r="1732" spans="22:22" x14ac:dyDescent="0.2">
      <c r="V1732" s="62"/>
    </row>
    <row r="1733" spans="22:22" x14ac:dyDescent="0.2">
      <c r="V1733" s="62"/>
    </row>
    <row r="1734" spans="22:22" x14ac:dyDescent="0.2">
      <c r="V1734" s="62"/>
    </row>
    <row r="1735" spans="22:22" x14ac:dyDescent="0.2">
      <c r="V1735" s="62"/>
    </row>
    <row r="1736" spans="22:22" x14ac:dyDescent="0.2">
      <c r="V1736" s="62"/>
    </row>
    <row r="1737" spans="22:22" x14ac:dyDescent="0.2">
      <c r="V1737" s="62"/>
    </row>
    <row r="1738" spans="22:22" x14ac:dyDescent="0.2">
      <c r="V1738" s="62"/>
    </row>
    <row r="1739" spans="22:22" x14ac:dyDescent="0.2">
      <c r="V1739" s="62"/>
    </row>
    <row r="1740" spans="22:22" x14ac:dyDescent="0.2">
      <c r="V1740" s="62"/>
    </row>
    <row r="1741" spans="22:22" x14ac:dyDescent="0.2">
      <c r="V1741" s="62"/>
    </row>
    <row r="1742" spans="22:22" x14ac:dyDescent="0.2">
      <c r="V1742" s="62"/>
    </row>
    <row r="1743" spans="22:22" x14ac:dyDescent="0.2">
      <c r="V1743" s="62"/>
    </row>
    <row r="1744" spans="22:22" x14ac:dyDescent="0.2">
      <c r="V1744" s="62"/>
    </row>
    <row r="1745" spans="22:22" x14ac:dyDescent="0.2">
      <c r="V1745" s="62"/>
    </row>
    <row r="1746" spans="22:22" x14ac:dyDescent="0.2">
      <c r="V1746" s="62"/>
    </row>
    <row r="1747" spans="22:22" x14ac:dyDescent="0.2">
      <c r="V1747" s="62"/>
    </row>
    <row r="1748" spans="22:22" x14ac:dyDescent="0.2">
      <c r="V1748" s="62"/>
    </row>
    <row r="1749" spans="22:22" x14ac:dyDescent="0.2">
      <c r="V1749" s="62"/>
    </row>
    <row r="1750" spans="22:22" x14ac:dyDescent="0.2">
      <c r="V1750" s="62"/>
    </row>
    <row r="1751" spans="22:22" x14ac:dyDescent="0.2">
      <c r="V1751" s="62"/>
    </row>
    <row r="1752" spans="22:22" x14ac:dyDescent="0.2">
      <c r="V1752" s="62"/>
    </row>
    <row r="1753" spans="22:22" x14ac:dyDescent="0.2">
      <c r="V1753" s="62"/>
    </row>
    <row r="1754" spans="22:22" x14ac:dyDescent="0.2">
      <c r="V1754" s="62"/>
    </row>
    <row r="1755" spans="22:22" x14ac:dyDescent="0.2">
      <c r="V1755" s="62"/>
    </row>
    <row r="1756" spans="22:22" x14ac:dyDescent="0.2">
      <c r="V1756" s="62"/>
    </row>
    <row r="1757" spans="22:22" x14ac:dyDescent="0.2">
      <c r="V1757" s="62"/>
    </row>
    <row r="1758" spans="22:22" x14ac:dyDescent="0.2">
      <c r="V1758" s="62"/>
    </row>
    <row r="1759" spans="22:22" x14ac:dyDescent="0.2">
      <c r="V1759" s="62"/>
    </row>
    <row r="1760" spans="22:22" x14ac:dyDescent="0.2">
      <c r="V1760" s="62"/>
    </row>
    <row r="1761" spans="22:22" x14ac:dyDescent="0.2">
      <c r="V1761" s="62"/>
    </row>
    <row r="1762" spans="22:22" x14ac:dyDescent="0.2">
      <c r="V1762" s="62"/>
    </row>
    <row r="1763" spans="22:22" x14ac:dyDescent="0.2">
      <c r="V1763" s="62"/>
    </row>
    <row r="1764" spans="22:22" x14ac:dyDescent="0.2">
      <c r="V1764" s="62"/>
    </row>
    <row r="1765" spans="22:22" x14ac:dyDescent="0.2">
      <c r="V1765" s="62"/>
    </row>
    <row r="1766" spans="22:22" x14ac:dyDescent="0.2">
      <c r="V1766" s="62"/>
    </row>
    <row r="1767" spans="22:22" x14ac:dyDescent="0.2">
      <c r="V1767" s="62"/>
    </row>
    <row r="1768" spans="22:22" x14ac:dyDescent="0.2">
      <c r="V1768" s="62"/>
    </row>
    <row r="1769" spans="22:22" x14ac:dyDescent="0.2">
      <c r="V1769" s="62"/>
    </row>
    <row r="1770" spans="22:22" x14ac:dyDescent="0.2">
      <c r="V1770" s="62"/>
    </row>
    <row r="1771" spans="22:22" x14ac:dyDescent="0.2">
      <c r="V1771" s="62"/>
    </row>
    <row r="1772" spans="22:22" x14ac:dyDescent="0.2">
      <c r="V1772" s="62"/>
    </row>
    <row r="1773" spans="22:22" x14ac:dyDescent="0.2">
      <c r="V1773" s="62"/>
    </row>
    <row r="1774" spans="22:22" x14ac:dyDescent="0.2">
      <c r="V1774" s="62"/>
    </row>
    <row r="1775" spans="22:22" x14ac:dyDescent="0.2">
      <c r="V1775" s="62"/>
    </row>
    <row r="1776" spans="22:22" x14ac:dyDescent="0.2">
      <c r="V1776" s="62"/>
    </row>
    <row r="1777" spans="22:22" x14ac:dyDescent="0.2">
      <c r="V1777" s="62"/>
    </row>
    <row r="1778" spans="22:22" x14ac:dyDescent="0.2">
      <c r="V1778" s="62"/>
    </row>
    <row r="1779" spans="22:22" x14ac:dyDescent="0.2">
      <c r="V1779" s="62"/>
    </row>
    <row r="1780" spans="22:22" x14ac:dyDescent="0.2">
      <c r="V1780" s="62"/>
    </row>
    <row r="1781" spans="22:22" x14ac:dyDescent="0.2">
      <c r="V1781" s="62"/>
    </row>
    <row r="1782" spans="22:22" x14ac:dyDescent="0.2">
      <c r="V1782" s="62"/>
    </row>
    <row r="1783" spans="22:22" x14ac:dyDescent="0.2">
      <c r="V1783" s="62"/>
    </row>
    <row r="1784" spans="22:22" x14ac:dyDescent="0.2">
      <c r="V1784" s="62"/>
    </row>
    <row r="1785" spans="22:22" x14ac:dyDescent="0.2">
      <c r="V1785" s="62"/>
    </row>
    <row r="1786" spans="22:22" x14ac:dyDescent="0.2">
      <c r="V1786" s="62"/>
    </row>
    <row r="1787" spans="22:22" x14ac:dyDescent="0.2">
      <c r="V1787" s="62"/>
    </row>
    <row r="1788" spans="22:22" x14ac:dyDescent="0.2">
      <c r="V1788" s="62"/>
    </row>
    <row r="1789" spans="22:22" x14ac:dyDescent="0.2">
      <c r="V1789" s="62"/>
    </row>
    <row r="1790" spans="22:22" x14ac:dyDescent="0.2">
      <c r="V1790" s="62"/>
    </row>
    <row r="1791" spans="22:22" x14ac:dyDescent="0.2">
      <c r="V1791" s="62"/>
    </row>
    <row r="1792" spans="22:22" x14ac:dyDescent="0.2">
      <c r="V1792" s="62"/>
    </row>
    <row r="1793" spans="22:22" x14ac:dyDescent="0.2">
      <c r="V1793" s="62"/>
    </row>
    <row r="1794" spans="22:22" x14ac:dyDescent="0.2">
      <c r="V1794" s="62"/>
    </row>
    <row r="1795" spans="22:22" x14ac:dyDescent="0.2">
      <c r="V1795" s="62"/>
    </row>
    <row r="1796" spans="22:22" x14ac:dyDescent="0.2">
      <c r="V1796" s="62"/>
    </row>
    <row r="1797" spans="22:22" x14ac:dyDescent="0.2">
      <c r="V1797" s="62"/>
    </row>
    <row r="1798" spans="22:22" x14ac:dyDescent="0.2">
      <c r="V1798" s="62"/>
    </row>
    <row r="1799" spans="22:22" x14ac:dyDescent="0.2">
      <c r="V1799" s="62"/>
    </row>
    <row r="1800" spans="22:22" x14ac:dyDescent="0.2">
      <c r="V1800" s="62"/>
    </row>
    <row r="1801" spans="22:22" x14ac:dyDescent="0.2">
      <c r="V1801" s="62"/>
    </row>
    <row r="1802" spans="22:22" x14ac:dyDescent="0.2">
      <c r="V1802" s="62"/>
    </row>
    <row r="1803" spans="22:22" x14ac:dyDescent="0.2">
      <c r="V1803" s="62"/>
    </row>
    <row r="1804" spans="22:22" x14ac:dyDescent="0.2">
      <c r="V1804" s="62"/>
    </row>
    <row r="1805" spans="22:22" x14ac:dyDescent="0.2">
      <c r="V1805" s="62"/>
    </row>
    <row r="1806" spans="22:22" x14ac:dyDescent="0.2">
      <c r="V1806" s="62"/>
    </row>
    <row r="1807" spans="22:22" x14ac:dyDescent="0.2">
      <c r="V1807" s="62"/>
    </row>
    <row r="1808" spans="22:22" x14ac:dyDescent="0.2">
      <c r="V1808" s="62"/>
    </row>
    <row r="1809" spans="22:22" x14ac:dyDescent="0.2">
      <c r="V1809" s="62"/>
    </row>
    <row r="1810" spans="22:22" x14ac:dyDescent="0.2">
      <c r="V1810" s="62"/>
    </row>
    <row r="1811" spans="22:22" x14ac:dyDescent="0.2">
      <c r="V1811" s="62"/>
    </row>
    <row r="1812" spans="22:22" x14ac:dyDescent="0.2">
      <c r="V1812" s="62"/>
    </row>
    <row r="1813" spans="22:22" x14ac:dyDescent="0.2">
      <c r="V1813" s="62"/>
    </row>
    <row r="1814" spans="22:22" x14ac:dyDescent="0.2">
      <c r="V1814" s="62"/>
    </row>
    <row r="1815" spans="22:22" x14ac:dyDescent="0.2">
      <c r="V1815" s="62"/>
    </row>
    <row r="1816" spans="22:22" x14ac:dyDescent="0.2">
      <c r="V1816" s="62"/>
    </row>
    <row r="1817" spans="22:22" x14ac:dyDescent="0.2">
      <c r="V1817" s="62"/>
    </row>
    <row r="1818" spans="22:22" x14ac:dyDescent="0.2">
      <c r="V1818" s="62"/>
    </row>
    <row r="1819" spans="22:22" x14ac:dyDescent="0.2">
      <c r="V1819" s="62"/>
    </row>
    <row r="1820" spans="22:22" x14ac:dyDescent="0.2">
      <c r="V1820" s="62"/>
    </row>
    <row r="1821" spans="22:22" x14ac:dyDescent="0.2">
      <c r="V1821" s="62"/>
    </row>
    <row r="1822" spans="22:22" x14ac:dyDescent="0.2">
      <c r="V1822" s="62"/>
    </row>
    <row r="1823" spans="22:22" x14ac:dyDescent="0.2">
      <c r="V1823" s="62"/>
    </row>
    <row r="1824" spans="22:22" x14ac:dyDescent="0.2">
      <c r="V1824" s="62"/>
    </row>
    <row r="1825" spans="22:22" x14ac:dyDescent="0.2">
      <c r="V1825" s="62"/>
    </row>
    <row r="1826" spans="22:22" x14ac:dyDescent="0.2">
      <c r="V1826" s="62"/>
    </row>
    <row r="1827" spans="22:22" x14ac:dyDescent="0.2">
      <c r="V1827" s="62"/>
    </row>
    <row r="1828" spans="22:22" x14ac:dyDescent="0.2">
      <c r="V1828" s="62"/>
    </row>
    <row r="1829" spans="22:22" x14ac:dyDescent="0.2">
      <c r="V1829" s="62"/>
    </row>
    <row r="1830" spans="22:22" x14ac:dyDescent="0.2">
      <c r="V1830" s="62"/>
    </row>
    <row r="1831" spans="22:22" x14ac:dyDescent="0.2">
      <c r="V1831" s="62"/>
    </row>
    <row r="1832" spans="22:22" x14ac:dyDescent="0.2">
      <c r="V1832" s="62"/>
    </row>
    <row r="1833" spans="22:22" x14ac:dyDescent="0.2">
      <c r="V1833" s="62"/>
    </row>
    <row r="1834" spans="22:22" x14ac:dyDescent="0.2">
      <c r="V1834" s="62"/>
    </row>
    <row r="1835" spans="22:22" x14ac:dyDescent="0.2">
      <c r="V1835" s="62"/>
    </row>
    <row r="1836" spans="22:22" x14ac:dyDescent="0.2">
      <c r="V1836" s="62"/>
    </row>
    <row r="1837" spans="22:22" x14ac:dyDescent="0.2">
      <c r="V1837" s="62"/>
    </row>
    <row r="1838" spans="22:22" x14ac:dyDescent="0.2">
      <c r="V1838" s="62"/>
    </row>
    <row r="1839" spans="22:22" x14ac:dyDescent="0.2">
      <c r="V1839" s="62"/>
    </row>
    <row r="1840" spans="22:22" x14ac:dyDescent="0.2">
      <c r="V1840" s="62"/>
    </row>
    <row r="1841" spans="22:22" x14ac:dyDescent="0.2">
      <c r="V1841" s="62"/>
    </row>
    <row r="1842" spans="22:22" x14ac:dyDescent="0.2">
      <c r="V1842" s="62"/>
    </row>
    <row r="1843" spans="22:22" x14ac:dyDescent="0.2">
      <c r="V1843" s="62"/>
    </row>
    <row r="1844" spans="22:22" x14ac:dyDescent="0.2">
      <c r="V1844" s="62"/>
    </row>
    <row r="1845" spans="22:22" x14ac:dyDescent="0.2">
      <c r="V1845" s="62"/>
    </row>
    <row r="1846" spans="22:22" x14ac:dyDescent="0.2">
      <c r="V1846" s="62"/>
    </row>
    <row r="1847" spans="22:22" x14ac:dyDescent="0.2">
      <c r="V1847" s="62"/>
    </row>
    <row r="1848" spans="22:22" x14ac:dyDescent="0.2">
      <c r="V1848" s="62"/>
    </row>
    <row r="1849" spans="22:22" x14ac:dyDescent="0.2">
      <c r="V1849" s="62"/>
    </row>
    <row r="1850" spans="22:22" x14ac:dyDescent="0.2">
      <c r="V1850" s="62"/>
    </row>
    <row r="1851" spans="22:22" x14ac:dyDescent="0.2">
      <c r="V1851" s="62"/>
    </row>
    <row r="1852" spans="22:22" x14ac:dyDescent="0.2">
      <c r="V1852" s="62"/>
    </row>
    <row r="1853" spans="22:22" x14ac:dyDescent="0.2">
      <c r="V1853" s="62"/>
    </row>
    <row r="1854" spans="22:22" x14ac:dyDescent="0.2">
      <c r="V1854" s="62"/>
    </row>
    <row r="1855" spans="22:22" x14ac:dyDescent="0.2">
      <c r="V1855" s="62"/>
    </row>
    <row r="1856" spans="22:22" x14ac:dyDescent="0.2">
      <c r="V1856" s="62"/>
    </row>
    <row r="1857" spans="22:22" x14ac:dyDescent="0.2">
      <c r="V1857" s="62"/>
    </row>
    <row r="1858" spans="22:22" x14ac:dyDescent="0.2">
      <c r="V1858" s="62"/>
    </row>
    <row r="1859" spans="22:22" x14ac:dyDescent="0.2">
      <c r="V1859" s="62"/>
    </row>
    <row r="1860" spans="22:22" x14ac:dyDescent="0.2">
      <c r="V1860" s="62"/>
    </row>
    <row r="1861" spans="22:22" x14ac:dyDescent="0.2">
      <c r="V1861" s="62"/>
    </row>
    <row r="1862" spans="22:22" x14ac:dyDescent="0.2">
      <c r="V1862" s="62"/>
    </row>
    <row r="1863" spans="22:22" x14ac:dyDescent="0.2">
      <c r="V1863" s="62"/>
    </row>
    <row r="1864" spans="22:22" x14ac:dyDescent="0.2">
      <c r="V1864" s="62"/>
    </row>
    <row r="1865" spans="22:22" x14ac:dyDescent="0.2">
      <c r="V1865" s="62"/>
    </row>
    <row r="1866" spans="22:22" x14ac:dyDescent="0.2">
      <c r="V1866" s="62"/>
    </row>
    <row r="1867" spans="22:22" x14ac:dyDescent="0.2">
      <c r="V1867" s="62"/>
    </row>
    <row r="1868" spans="22:22" x14ac:dyDescent="0.2">
      <c r="V1868" s="62"/>
    </row>
    <row r="1869" spans="22:22" x14ac:dyDescent="0.2">
      <c r="V1869" s="62"/>
    </row>
    <row r="1870" spans="22:22" x14ac:dyDescent="0.2">
      <c r="V1870" s="62"/>
    </row>
    <row r="1871" spans="22:22" x14ac:dyDescent="0.2">
      <c r="V1871" s="62"/>
    </row>
    <row r="1872" spans="22:22" x14ac:dyDescent="0.2">
      <c r="V1872" s="62"/>
    </row>
    <row r="1873" spans="22:22" x14ac:dyDescent="0.2">
      <c r="V1873" s="62"/>
    </row>
    <row r="1874" spans="22:22" x14ac:dyDescent="0.2">
      <c r="V1874" s="62"/>
    </row>
    <row r="1875" spans="22:22" x14ac:dyDescent="0.2">
      <c r="V1875" s="62"/>
    </row>
    <row r="1876" spans="22:22" x14ac:dyDescent="0.2">
      <c r="V1876" s="62"/>
    </row>
    <row r="1877" spans="22:22" x14ac:dyDescent="0.2">
      <c r="V1877" s="62"/>
    </row>
    <row r="1878" spans="22:22" x14ac:dyDescent="0.2">
      <c r="V1878" s="62"/>
    </row>
    <row r="1879" spans="22:22" x14ac:dyDescent="0.2">
      <c r="V1879" s="62"/>
    </row>
    <row r="1880" spans="22:22" x14ac:dyDescent="0.2">
      <c r="V1880" s="62"/>
    </row>
    <row r="1881" spans="22:22" x14ac:dyDescent="0.2">
      <c r="V1881" s="62"/>
    </row>
    <row r="1882" spans="22:22" x14ac:dyDescent="0.2">
      <c r="V1882" s="62"/>
    </row>
    <row r="1883" spans="22:22" x14ac:dyDescent="0.2">
      <c r="V1883" s="62"/>
    </row>
    <row r="1884" spans="22:22" x14ac:dyDescent="0.2">
      <c r="V1884" s="62"/>
    </row>
    <row r="1885" spans="22:22" x14ac:dyDescent="0.2">
      <c r="V1885" s="62"/>
    </row>
    <row r="1886" spans="22:22" x14ac:dyDescent="0.2">
      <c r="V1886" s="62"/>
    </row>
    <row r="1887" spans="22:22" x14ac:dyDescent="0.2">
      <c r="V1887" s="62"/>
    </row>
    <row r="1888" spans="22:22" x14ac:dyDescent="0.2">
      <c r="V1888" s="62"/>
    </row>
    <row r="1889" spans="22:22" x14ac:dyDescent="0.2">
      <c r="V1889" s="62"/>
    </row>
    <row r="1890" spans="22:22" x14ac:dyDescent="0.2">
      <c r="V1890" s="62"/>
    </row>
    <row r="1891" spans="22:22" x14ac:dyDescent="0.2">
      <c r="V1891" s="62"/>
    </row>
    <row r="1892" spans="22:22" x14ac:dyDescent="0.2">
      <c r="V1892" s="62"/>
    </row>
    <row r="1893" spans="22:22" x14ac:dyDescent="0.2">
      <c r="V1893" s="62"/>
    </row>
    <row r="1894" spans="22:22" x14ac:dyDescent="0.2">
      <c r="V1894" s="62"/>
    </row>
    <row r="1895" spans="22:22" x14ac:dyDescent="0.2">
      <c r="V1895" s="62"/>
    </row>
    <row r="1896" spans="22:22" x14ac:dyDescent="0.2">
      <c r="V1896" s="62"/>
    </row>
    <row r="1897" spans="22:22" x14ac:dyDescent="0.2">
      <c r="V1897" s="62"/>
    </row>
    <row r="1898" spans="22:22" x14ac:dyDescent="0.2">
      <c r="V1898" s="62"/>
    </row>
    <row r="1899" spans="22:22" x14ac:dyDescent="0.2">
      <c r="V1899" s="62"/>
    </row>
    <row r="1900" spans="22:22" x14ac:dyDescent="0.2">
      <c r="V1900" s="62"/>
    </row>
    <row r="1901" spans="22:22" x14ac:dyDescent="0.2">
      <c r="V1901" s="62"/>
    </row>
    <row r="1902" spans="22:22" x14ac:dyDescent="0.2">
      <c r="V1902" s="62"/>
    </row>
    <row r="1903" spans="22:22" x14ac:dyDescent="0.2">
      <c r="V1903" s="62"/>
    </row>
    <row r="1904" spans="22:22" x14ac:dyDescent="0.2">
      <c r="V1904" s="62"/>
    </row>
    <row r="1905" spans="22:22" x14ac:dyDescent="0.2">
      <c r="V1905" s="62"/>
    </row>
    <row r="1906" spans="22:22" x14ac:dyDescent="0.2">
      <c r="V1906" s="62"/>
    </row>
    <row r="1907" spans="22:22" x14ac:dyDescent="0.2">
      <c r="V1907" s="62"/>
    </row>
    <row r="1908" spans="22:22" x14ac:dyDescent="0.2">
      <c r="V1908" s="62"/>
    </row>
    <row r="1909" spans="22:22" x14ac:dyDescent="0.2">
      <c r="V1909" s="62"/>
    </row>
    <row r="1910" spans="22:22" x14ac:dyDescent="0.2">
      <c r="V1910" s="62"/>
    </row>
    <row r="1911" spans="22:22" x14ac:dyDescent="0.2">
      <c r="V1911" s="62"/>
    </row>
    <row r="1912" spans="22:22" x14ac:dyDescent="0.2">
      <c r="V1912" s="62"/>
    </row>
    <row r="1913" spans="22:22" x14ac:dyDescent="0.2">
      <c r="V1913" s="62"/>
    </row>
    <row r="1914" spans="22:22" x14ac:dyDescent="0.2">
      <c r="V1914" s="62"/>
    </row>
    <row r="1915" spans="22:22" x14ac:dyDescent="0.2">
      <c r="V1915" s="62"/>
    </row>
    <row r="1916" spans="22:22" x14ac:dyDescent="0.2">
      <c r="V1916" s="62"/>
    </row>
    <row r="1917" spans="22:22" x14ac:dyDescent="0.2">
      <c r="V1917" s="62"/>
    </row>
    <row r="1918" spans="22:22" x14ac:dyDescent="0.2">
      <c r="V1918" s="62"/>
    </row>
    <row r="1919" spans="22:22" x14ac:dyDescent="0.2">
      <c r="V1919" s="62"/>
    </row>
    <row r="1920" spans="22:22" x14ac:dyDescent="0.2">
      <c r="V1920" s="62"/>
    </row>
    <row r="1921" spans="22:22" x14ac:dyDescent="0.2">
      <c r="V1921" s="62"/>
    </row>
    <row r="1922" spans="22:22" x14ac:dyDescent="0.2">
      <c r="V1922" s="62"/>
    </row>
    <row r="1923" spans="22:22" x14ac:dyDescent="0.2">
      <c r="V1923" s="62"/>
    </row>
    <row r="1924" spans="22:22" x14ac:dyDescent="0.2">
      <c r="V1924" s="62"/>
    </row>
    <row r="1925" spans="22:22" x14ac:dyDescent="0.2">
      <c r="V1925" s="62"/>
    </row>
    <row r="1926" spans="22:22" x14ac:dyDescent="0.2">
      <c r="V1926" s="62"/>
    </row>
    <row r="1927" spans="22:22" x14ac:dyDescent="0.2">
      <c r="V1927" s="62"/>
    </row>
    <row r="1928" spans="22:22" x14ac:dyDescent="0.2">
      <c r="V1928" s="62"/>
    </row>
    <row r="1929" spans="22:22" x14ac:dyDescent="0.2">
      <c r="V1929" s="62"/>
    </row>
    <row r="1930" spans="22:22" x14ac:dyDescent="0.2">
      <c r="V1930" s="62"/>
    </row>
    <row r="1931" spans="22:22" x14ac:dyDescent="0.2">
      <c r="V1931" s="62"/>
    </row>
    <row r="1932" spans="22:22" x14ac:dyDescent="0.2">
      <c r="V1932" s="62"/>
    </row>
    <row r="1933" spans="22:22" x14ac:dyDescent="0.2">
      <c r="V1933" s="62"/>
    </row>
    <row r="1934" spans="22:22" x14ac:dyDescent="0.2">
      <c r="V1934" s="62"/>
    </row>
    <row r="1935" spans="22:22" x14ac:dyDescent="0.2">
      <c r="V1935" s="62"/>
    </row>
    <row r="1936" spans="22:22" x14ac:dyDescent="0.2">
      <c r="V1936" s="62"/>
    </row>
    <row r="1937" spans="22:22" x14ac:dyDescent="0.2">
      <c r="V1937" s="62"/>
    </row>
    <row r="1938" spans="22:22" x14ac:dyDescent="0.2">
      <c r="V1938" s="62"/>
    </row>
    <row r="1939" spans="22:22" x14ac:dyDescent="0.2">
      <c r="V1939" s="62"/>
    </row>
    <row r="1940" spans="22:22" x14ac:dyDescent="0.2">
      <c r="V1940" s="62"/>
    </row>
    <row r="1941" spans="22:22" x14ac:dyDescent="0.2">
      <c r="V1941" s="62"/>
    </row>
    <row r="1942" spans="22:22" x14ac:dyDescent="0.2">
      <c r="V1942" s="62"/>
    </row>
    <row r="1943" spans="22:22" x14ac:dyDescent="0.2">
      <c r="V1943" s="62"/>
    </row>
    <row r="1944" spans="22:22" x14ac:dyDescent="0.2">
      <c r="V1944" s="62"/>
    </row>
    <row r="1945" spans="22:22" x14ac:dyDescent="0.2">
      <c r="V1945" s="62"/>
    </row>
    <row r="1946" spans="22:22" x14ac:dyDescent="0.2">
      <c r="V1946" s="62"/>
    </row>
    <row r="1947" spans="22:22" x14ac:dyDescent="0.2">
      <c r="V1947" s="62"/>
    </row>
    <row r="1948" spans="22:22" x14ac:dyDescent="0.2">
      <c r="V1948" s="62"/>
    </row>
    <row r="1949" spans="22:22" x14ac:dyDescent="0.2">
      <c r="V1949" s="62"/>
    </row>
    <row r="1950" spans="22:22" x14ac:dyDescent="0.2">
      <c r="V1950" s="62"/>
    </row>
    <row r="1951" spans="22:22" x14ac:dyDescent="0.2">
      <c r="V1951" s="62"/>
    </row>
    <row r="1952" spans="22:22" x14ac:dyDescent="0.2">
      <c r="V1952" s="62"/>
    </row>
    <row r="1953" spans="22:22" x14ac:dyDescent="0.2">
      <c r="V1953" s="62"/>
    </row>
    <row r="1954" spans="22:22" x14ac:dyDescent="0.2">
      <c r="V1954" s="62"/>
    </row>
    <row r="1955" spans="22:22" x14ac:dyDescent="0.2">
      <c r="V1955" s="62"/>
    </row>
    <row r="1956" spans="22:22" x14ac:dyDescent="0.2">
      <c r="V1956" s="62"/>
    </row>
    <row r="1957" spans="22:22" x14ac:dyDescent="0.2">
      <c r="V1957" s="62"/>
    </row>
    <row r="1958" spans="22:22" x14ac:dyDescent="0.2">
      <c r="V1958" s="62"/>
    </row>
    <row r="1959" spans="22:22" x14ac:dyDescent="0.2">
      <c r="V1959" s="62"/>
    </row>
    <row r="1960" spans="22:22" x14ac:dyDescent="0.2">
      <c r="V1960" s="62"/>
    </row>
    <row r="1961" spans="22:22" x14ac:dyDescent="0.2">
      <c r="V1961" s="62"/>
    </row>
    <row r="1962" spans="22:22" x14ac:dyDescent="0.2">
      <c r="V1962" s="62"/>
    </row>
    <row r="1963" spans="22:22" x14ac:dyDescent="0.2">
      <c r="V1963" s="62"/>
    </row>
    <row r="1964" spans="22:22" x14ac:dyDescent="0.2">
      <c r="V1964" s="62"/>
    </row>
    <row r="1965" spans="22:22" x14ac:dyDescent="0.2">
      <c r="V1965" s="62"/>
    </row>
    <row r="1966" spans="22:22" x14ac:dyDescent="0.2">
      <c r="V1966" s="62"/>
    </row>
    <row r="1967" spans="22:22" x14ac:dyDescent="0.2">
      <c r="V1967" s="62"/>
    </row>
    <row r="1968" spans="22:22" x14ac:dyDescent="0.2">
      <c r="V1968" s="62"/>
    </row>
    <row r="1969" spans="22:22" x14ac:dyDescent="0.2">
      <c r="V1969" s="62"/>
    </row>
    <row r="1970" spans="22:22" x14ac:dyDescent="0.2">
      <c r="V1970" s="62"/>
    </row>
    <row r="1971" spans="22:22" x14ac:dyDescent="0.2">
      <c r="V1971" s="62"/>
    </row>
    <row r="1972" spans="22:22" x14ac:dyDescent="0.2">
      <c r="V1972" s="62"/>
    </row>
    <row r="1973" spans="22:22" x14ac:dyDescent="0.2">
      <c r="V1973" s="62"/>
    </row>
    <row r="1974" spans="22:22" x14ac:dyDescent="0.2">
      <c r="V1974" s="62"/>
    </row>
    <row r="1975" spans="22:22" x14ac:dyDescent="0.2">
      <c r="V1975" s="62"/>
    </row>
    <row r="1976" spans="22:22" x14ac:dyDescent="0.2">
      <c r="V1976" s="62"/>
    </row>
    <row r="1977" spans="22:22" x14ac:dyDescent="0.2">
      <c r="V1977" s="62"/>
    </row>
    <row r="1978" spans="22:22" x14ac:dyDescent="0.2">
      <c r="V1978" s="62"/>
    </row>
    <row r="1979" spans="22:22" x14ac:dyDescent="0.2">
      <c r="V1979" s="62"/>
    </row>
    <row r="1980" spans="22:22" x14ac:dyDescent="0.2">
      <c r="V1980" s="62"/>
    </row>
    <row r="1981" spans="22:22" x14ac:dyDescent="0.2">
      <c r="V1981" s="62"/>
    </row>
    <row r="1982" spans="22:22" x14ac:dyDescent="0.2">
      <c r="V1982" s="62"/>
    </row>
    <row r="1983" spans="22:22" x14ac:dyDescent="0.2">
      <c r="V1983" s="62"/>
    </row>
    <row r="1984" spans="22:22" x14ac:dyDescent="0.2">
      <c r="V1984" s="62"/>
    </row>
    <row r="1985" spans="22:22" x14ac:dyDescent="0.2">
      <c r="V1985" s="62"/>
    </row>
    <row r="1986" spans="22:22" x14ac:dyDescent="0.2">
      <c r="V1986" s="62"/>
    </row>
    <row r="1987" spans="22:22" x14ac:dyDescent="0.2">
      <c r="V1987" s="62"/>
    </row>
    <row r="1988" spans="22:22" x14ac:dyDescent="0.2">
      <c r="V1988" s="62"/>
    </row>
    <row r="1989" spans="22:22" x14ac:dyDescent="0.2">
      <c r="V1989" s="62"/>
    </row>
    <row r="1990" spans="22:22" x14ac:dyDescent="0.2">
      <c r="V1990" s="62"/>
    </row>
    <row r="1991" spans="22:22" x14ac:dyDescent="0.2">
      <c r="V1991" s="62"/>
    </row>
    <row r="1992" spans="22:22" x14ac:dyDescent="0.2">
      <c r="V1992" s="62"/>
    </row>
    <row r="1993" spans="22:22" x14ac:dyDescent="0.2">
      <c r="V1993" s="62"/>
    </row>
    <row r="1994" spans="22:22" x14ac:dyDescent="0.2">
      <c r="V1994" s="62"/>
    </row>
    <row r="1995" spans="22:22" x14ac:dyDescent="0.2">
      <c r="V1995" s="62"/>
    </row>
    <row r="1996" spans="22:22" x14ac:dyDescent="0.2">
      <c r="V1996" s="62"/>
    </row>
    <row r="1997" spans="22:22" x14ac:dyDescent="0.2">
      <c r="V1997" s="62"/>
    </row>
    <row r="1998" spans="22:22" x14ac:dyDescent="0.2">
      <c r="V1998" s="62"/>
    </row>
    <row r="1999" spans="22:22" x14ac:dyDescent="0.2">
      <c r="V1999" s="62"/>
    </row>
    <row r="2000" spans="22:22" x14ac:dyDescent="0.2">
      <c r="V2000" s="62"/>
    </row>
    <row r="2001" spans="22:22" x14ac:dyDescent="0.2">
      <c r="V2001" s="62"/>
    </row>
    <row r="2002" spans="22:22" x14ac:dyDescent="0.2">
      <c r="V2002" s="62"/>
    </row>
    <row r="2003" spans="22:22" x14ac:dyDescent="0.2">
      <c r="V2003" s="62"/>
    </row>
    <row r="2004" spans="22:22" x14ac:dyDescent="0.2">
      <c r="V2004" s="62"/>
    </row>
    <row r="2005" spans="22:22" x14ac:dyDescent="0.2">
      <c r="V2005" s="62"/>
    </row>
    <row r="2006" spans="22:22" x14ac:dyDescent="0.2">
      <c r="V2006" s="62"/>
    </row>
    <row r="2007" spans="22:22" x14ac:dyDescent="0.2">
      <c r="V2007" s="62"/>
    </row>
    <row r="2008" spans="22:22" x14ac:dyDescent="0.2">
      <c r="V2008" s="62"/>
    </row>
    <row r="2009" spans="22:22" x14ac:dyDescent="0.2">
      <c r="V2009" s="62"/>
    </row>
    <row r="2010" spans="22:22" x14ac:dyDescent="0.2">
      <c r="V2010" s="62"/>
    </row>
    <row r="2011" spans="22:22" x14ac:dyDescent="0.2">
      <c r="V2011" s="62"/>
    </row>
    <row r="2012" spans="22:22" x14ac:dyDescent="0.2">
      <c r="V2012" s="62"/>
    </row>
    <row r="2013" spans="22:22" x14ac:dyDescent="0.2">
      <c r="V2013" s="62"/>
    </row>
    <row r="2014" spans="22:22" x14ac:dyDescent="0.2">
      <c r="V2014" s="62"/>
    </row>
    <row r="2015" spans="22:22" x14ac:dyDescent="0.2">
      <c r="V2015" s="62"/>
    </row>
    <row r="2016" spans="22:22" x14ac:dyDescent="0.2">
      <c r="V2016" s="62"/>
    </row>
    <row r="2017" spans="22:22" x14ac:dyDescent="0.2">
      <c r="V2017" s="62"/>
    </row>
    <row r="2018" spans="22:22" x14ac:dyDescent="0.2">
      <c r="V2018" s="62"/>
    </row>
    <row r="2019" spans="22:22" x14ac:dyDescent="0.2">
      <c r="V2019" s="62"/>
    </row>
    <row r="2020" spans="22:22" x14ac:dyDescent="0.2">
      <c r="V2020" s="62"/>
    </row>
    <row r="2021" spans="22:22" x14ac:dyDescent="0.2">
      <c r="V2021" s="62"/>
    </row>
    <row r="2022" spans="22:22" x14ac:dyDescent="0.2">
      <c r="V2022" s="62"/>
    </row>
    <row r="2023" spans="22:22" x14ac:dyDescent="0.2">
      <c r="V2023" s="62"/>
    </row>
    <row r="2024" spans="22:22" x14ac:dyDescent="0.2">
      <c r="V2024" s="62"/>
    </row>
    <row r="2025" spans="22:22" x14ac:dyDescent="0.2">
      <c r="V2025" s="62"/>
    </row>
    <row r="2026" spans="22:22" x14ac:dyDescent="0.2">
      <c r="V2026" s="62"/>
    </row>
    <row r="2027" spans="22:22" x14ac:dyDescent="0.2">
      <c r="V2027" s="62"/>
    </row>
    <row r="2028" spans="22:22" x14ac:dyDescent="0.2">
      <c r="V2028" s="62"/>
    </row>
    <row r="2029" spans="22:22" x14ac:dyDescent="0.2">
      <c r="V2029" s="62"/>
    </row>
    <row r="2030" spans="22:22" x14ac:dyDescent="0.2">
      <c r="V2030" s="62"/>
    </row>
    <row r="2031" spans="22:22" x14ac:dyDescent="0.2">
      <c r="V2031" s="62"/>
    </row>
    <row r="2032" spans="22:22" x14ac:dyDescent="0.2">
      <c r="V2032" s="62"/>
    </row>
    <row r="2033" spans="22:22" x14ac:dyDescent="0.2">
      <c r="V2033" s="62"/>
    </row>
    <row r="2034" spans="22:22" x14ac:dyDescent="0.2">
      <c r="V2034" s="62"/>
    </row>
    <row r="2035" spans="22:22" x14ac:dyDescent="0.2">
      <c r="V2035" s="62"/>
    </row>
    <row r="2036" spans="22:22" x14ac:dyDescent="0.2">
      <c r="V2036" s="62"/>
    </row>
    <row r="2037" spans="22:22" x14ac:dyDescent="0.2">
      <c r="V2037" s="62"/>
    </row>
    <row r="2038" spans="22:22" x14ac:dyDescent="0.2">
      <c r="V2038" s="62"/>
    </row>
    <row r="2039" spans="22:22" x14ac:dyDescent="0.2">
      <c r="V2039" s="62"/>
    </row>
    <row r="2040" spans="22:22" x14ac:dyDescent="0.2">
      <c r="V2040" s="62"/>
    </row>
    <row r="2041" spans="22:22" x14ac:dyDescent="0.2">
      <c r="V2041" s="62"/>
    </row>
    <row r="2042" spans="22:22" x14ac:dyDescent="0.2">
      <c r="V2042" s="62"/>
    </row>
    <row r="2043" spans="22:22" x14ac:dyDescent="0.2">
      <c r="V2043" s="62"/>
    </row>
    <row r="2044" spans="22:22" x14ac:dyDescent="0.2">
      <c r="V2044" s="62"/>
    </row>
    <row r="2045" spans="22:22" x14ac:dyDescent="0.2">
      <c r="V2045" s="62"/>
    </row>
    <row r="2046" spans="22:22" x14ac:dyDescent="0.2">
      <c r="V2046" s="62"/>
    </row>
    <row r="2047" spans="22:22" x14ac:dyDescent="0.2">
      <c r="V2047" s="62"/>
    </row>
    <row r="2048" spans="22:22" x14ac:dyDescent="0.2">
      <c r="V2048" s="62"/>
    </row>
    <row r="2049" spans="22:22" x14ac:dyDescent="0.2">
      <c r="V2049" s="62"/>
    </row>
    <row r="2050" spans="22:22" x14ac:dyDescent="0.2">
      <c r="V2050" s="62"/>
    </row>
    <row r="2051" spans="22:22" x14ac:dyDescent="0.2">
      <c r="V2051" s="62"/>
    </row>
    <row r="2052" spans="22:22" x14ac:dyDescent="0.2">
      <c r="V2052" s="62"/>
    </row>
    <row r="2053" spans="22:22" x14ac:dyDescent="0.2">
      <c r="V2053" s="62"/>
    </row>
    <row r="2054" spans="22:22" x14ac:dyDescent="0.2">
      <c r="V2054" s="62"/>
    </row>
    <row r="2055" spans="22:22" x14ac:dyDescent="0.2">
      <c r="V2055" s="62"/>
    </row>
    <row r="2056" spans="22:22" x14ac:dyDescent="0.2">
      <c r="V2056" s="62"/>
    </row>
    <row r="2057" spans="22:22" x14ac:dyDescent="0.2">
      <c r="V2057" s="62"/>
    </row>
    <row r="2058" spans="22:22" x14ac:dyDescent="0.2">
      <c r="V2058" s="62"/>
    </row>
    <row r="2059" spans="22:22" x14ac:dyDescent="0.2">
      <c r="V2059" s="62"/>
    </row>
    <row r="2060" spans="22:22" x14ac:dyDescent="0.2">
      <c r="V2060" s="62"/>
    </row>
    <row r="2061" spans="22:22" x14ac:dyDescent="0.2">
      <c r="V2061" s="62"/>
    </row>
    <row r="2062" spans="22:22" x14ac:dyDescent="0.2">
      <c r="V2062" s="62"/>
    </row>
    <row r="2063" spans="22:22" x14ac:dyDescent="0.2">
      <c r="V2063" s="62"/>
    </row>
    <row r="2064" spans="22:22" x14ac:dyDescent="0.2">
      <c r="V2064" s="62"/>
    </row>
    <row r="2065" spans="22:22" x14ac:dyDescent="0.2">
      <c r="V2065" s="62"/>
    </row>
    <row r="2066" spans="22:22" x14ac:dyDescent="0.2">
      <c r="V2066" s="62"/>
    </row>
    <row r="2067" spans="22:22" x14ac:dyDescent="0.2">
      <c r="V2067" s="62"/>
    </row>
    <row r="2068" spans="22:22" x14ac:dyDescent="0.2">
      <c r="V2068" s="62"/>
    </row>
    <row r="2069" spans="22:22" x14ac:dyDescent="0.2">
      <c r="V2069" s="62"/>
    </row>
    <row r="2070" spans="22:22" x14ac:dyDescent="0.2">
      <c r="V2070" s="62"/>
    </row>
    <row r="2071" spans="22:22" x14ac:dyDescent="0.2">
      <c r="V2071" s="62"/>
    </row>
    <row r="2072" spans="22:22" x14ac:dyDescent="0.2">
      <c r="V2072" s="62"/>
    </row>
    <row r="2073" spans="22:22" x14ac:dyDescent="0.2">
      <c r="V2073" s="62"/>
    </row>
    <row r="2074" spans="22:22" x14ac:dyDescent="0.2">
      <c r="V2074" s="62"/>
    </row>
    <row r="2075" spans="22:22" x14ac:dyDescent="0.2">
      <c r="V2075" s="62"/>
    </row>
    <row r="2076" spans="22:22" x14ac:dyDescent="0.2">
      <c r="V2076" s="62"/>
    </row>
    <row r="2077" spans="22:22" x14ac:dyDescent="0.2">
      <c r="V2077" s="62"/>
    </row>
    <row r="2078" spans="22:22" x14ac:dyDescent="0.2">
      <c r="V2078" s="62"/>
    </row>
    <row r="2079" spans="22:22" x14ac:dyDescent="0.2">
      <c r="V2079" s="62"/>
    </row>
    <row r="2080" spans="22:22" x14ac:dyDescent="0.2">
      <c r="V2080" s="62"/>
    </row>
    <row r="2081" spans="22:22" x14ac:dyDescent="0.2">
      <c r="V2081" s="62"/>
    </row>
    <row r="2082" spans="22:22" x14ac:dyDescent="0.2">
      <c r="V2082" s="62"/>
    </row>
    <row r="2083" spans="22:22" x14ac:dyDescent="0.2">
      <c r="V2083" s="62"/>
    </row>
    <row r="2084" spans="22:22" x14ac:dyDescent="0.2">
      <c r="V2084" s="62"/>
    </row>
    <row r="2085" spans="22:22" x14ac:dyDescent="0.2">
      <c r="V2085" s="62"/>
    </row>
    <row r="2086" spans="22:22" x14ac:dyDescent="0.2">
      <c r="V2086" s="62"/>
    </row>
    <row r="2087" spans="22:22" x14ac:dyDescent="0.2">
      <c r="V2087" s="62"/>
    </row>
    <row r="2088" spans="22:22" x14ac:dyDescent="0.2">
      <c r="V2088" s="62"/>
    </row>
    <row r="2089" spans="22:22" x14ac:dyDescent="0.2">
      <c r="V2089" s="62"/>
    </row>
    <row r="2090" spans="22:22" x14ac:dyDescent="0.2">
      <c r="V2090" s="62"/>
    </row>
    <row r="2091" spans="22:22" x14ac:dyDescent="0.2">
      <c r="V2091" s="62"/>
    </row>
    <row r="2092" spans="22:22" x14ac:dyDescent="0.2">
      <c r="V2092" s="62"/>
    </row>
    <row r="2093" spans="22:22" x14ac:dyDescent="0.2">
      <c r="V2093" s="62"/>
    </row>
    <row r="2094" spans="22:22" x14ac:dyDescent="0.2">
      <c r="V2094" s="62"/>
    </row>
    <row r="2095" spans="22:22" x14ac:dyDescent="0.2">
      <c r="V2095" s="62"/>
    </row>
    <row r="2096" spans="22:22" x14ac:dyDescent="0.2">
      <c r="V2096" s="62"/>
    </row>
    <row r="2097" spans="22:22" x14ac:dyDescent="0.2">
      <c r="V2097" s="62"/>
    </row>
    <row r="2098" spans="22:22" x14ac:dyDescent="0.2">
      <c r="V2098" s="62"/>
    </row>
    <row r="2099" spans="22:22" x14ac:dyDescent="0.2">
      <c r="V2099" s="62"/>
    </row>
    <row r="2100" spans="22:22" x14ac:dyDescent="0.2">
      <c r="V2100" s="62"/>
    </row>
    <row r="2101" spans="22:22" x14ac:dyDescent="0.2">
      <c r="V2101" s="62"/>
    </row>
    <row r="2102" spans="22:22" x14ac:dyDescent="0.2">
      <c r="V2102" s="62"/>
    </row>
    <row r="2103" spans="22:22" x14ac:dyDescent="0.2">
      <c r="V2103" s="62"/>
    </row>
    <row r="2104" spans="22:22" x14ac:dyDescent="0.2">
      <c r="V2104" s="62"/>
    </row>
    <row r="2105" spans="22:22" x14ac:dyDescent="0.2">
      <c r="V2105" s="62"/>
    </row>
    <row r="2106" spans="22:22" x14ac:dyDescent="0.2">
      <c r="V2106" s="62"/>
    </row>
    <row r="2107" spans="22:22" x14ac:dyDescent="0.2">
      <c r="V2107" s="62"/>
    </row>
    <row r="2108" spans="22:22" x14ac:dyDescent="0.2">
      <c r="V2108" s="62"/>
    </row>
    <row r="2109" spans="22:22" x14ac:dyDescent="0.2">
      <c r="V2109" s="62"/>
    </row>
    <row r="2110" spans="22:22" x14ac:dyDescent="0.2">
      <c r="V2110" s="62"/>
    </row>
    <row r="2111" spans="22:22" x14ac:dyDescent="0.2">
      <c r="V2111" s="62"/>
    </row>
    <row r="2112" spans="22:22" x14ac:dyDescent="0.2">
      <c r="V2112" s="62"/>
    </row>
    <row r="2113" spans="22:22" x14ac:dyDescent="0.2">
      <c r="V2113" s="62"/>
    </row>
    <row r="2114" spans="22:22" x14ac:dyDescent="0.2">
      <c r="V2114" s="62"/>
    </row>
    <row r="2115" spans="22:22" x14ac:dyDescent="0.2">
      <c r="V2115" s="62"/>
    </row>
    <row r="2116" spans="22:22" x14ac:dyDescent="0.2">
      <c r="V2116" s="62"/>
    </row>
    <row r="2117" spans="22:22" x14ac:dyDescent="0.2">
      <c r="V2117" s="62"/>
    </row>
    <row r="2118" spans="22:22" x14ac:dyDescent="0.2">
      <c r="V2118" s="62"/>
    </row>
    <row r="2119" spans="22:22" x14ac:dyDescent="0.2">
      <c r="V2119" s="62"/>
    </row>
    <row r="2120" spans="22:22" x14ac:dyDescent="0.2">
      <c r="V2120" s="62"/>
    </row>
    <row r="2121" spans="22:22" x14ac:dyDescent="0.2">
      <c r="V2121" s="62"/>
    </row>
    <row r="2122" spans="22:22" x14ac:dyDescent="0.2">
      <c r="V2122" s="62"/>
    </row>
    <row r="2123" spans="22:22" x14ac:dyDescent="0.2">
      <c r="V2123" s="62"/>
    </row>
    <row r="2124" spans="22:22" x14ac:dyDescent="0.2">
      <c r="V2124" s="62"/>
    </row>
    <row r="2125" spans="22:22" x14ac:dyDescent="0.2">
      <c r="V2125" s="62"/>
    </row>
    <row r="2126" spans="22:22" x14ac:dyDescent="0.2">
      <c r="V2126" s="62"/>
    </row>
    <row r="2127" spans="22:22" x14ac:dyDescent="0.2">
      <c r="V2127" s="62"/>
    </row>
    <row r="2128" spans="22:22" x14ac:dyDescent="0.2">
      <c r="V2128" s="62"/>
    </row>
    <row r="2129" spans="22:22" x14ac:dyDescent="0.2">
      <c r="V2129" s="62"/>
    </row>
    <row r="2130" spans="22:22" x14ac:dyDescent="0.2">
      <c r="V2130" s="62"/>
    </row>
    <row r="2131" spans="22:22" x14ac:dyDescent="0.2">
      <c r="V2131" s="62"/>
    </row>
    <row r="2132" spans="22:22" x14ac:dyDescent="0.2">
      <c r="V2132" s="62"/>
    </row>
    <row r="2133" spans="22:22" x14ac:dyDescent="0.2">
      <c r="V2133" s="62"/>
    </row>
    <row r="2134" spans="22:22" x14ac:dyDescent="0.2">
      <c r="V2134" s="62"/>
    </row>
    <row r="2135" spans="22:22" x14ac:dyDescent="0.2">
      <c r="V2135" s="62"/>
    </row>
    <row r="2136" spans="22:22" x14ac:dyDescent="0.2">
      <c r="V2136" s="62"/>
    </row>
    <row r="2137" spans="22:22" x14ac:dyDescent="0.2">
      <c r="V2137" s="62"/>
    </row>
    <row r="2138" spans="22:22" x14ac:dyDescent="0.2">
      <c r="V2138" s="62"/>
    </row>
    <row r="2139" spans="22:22" x14ac:dyDescent="0.2">
      <c r="V2139" s="62"/>
    </row>
    <row r="2140" spans="22:22" x14ac:dyDescent="0.2">
      <c r="V2140" s="62"/>
    </row>
    <row r="2141" spans="22:22" x14ac:dyDescent="0.2">
      <c r="V2141" s="62"/>
    </row>
    <row r="2142" spans="22:22" x14ac:dyDescent="0.2">
      <c r="V2142" s="62"/>
    </row>
    <row r="2143" spans="22:22" x14ac:dyDescent="0.2">
      <c r="V2143" s="62"/>
    </row>
    <row r="2144" spans="22:22" x14ac:dyDescent="0.2">
      <c r="V2144" s="62"/>
    </row>
    <row r="2145" spans="22:22" x14ac:dyDescent="0.2">
      <c r="V2145" s="62"/>
    </row>
    <row r="2146" spans="22:22" x14ac:dyDescent="0.2">
      <c r="V2146" s="62"/>
    </row>
    <row r="2147" spans="22:22" x14ac:dyDescent="0.2">
      <c r="V2147" s="62"/>
    </row>
    <row r="2148" spans="22:22" x14ac:dyDescent="0.2">
      <c r="V2148" s="62"/>
    </row>
    <row r="2149" spans="22:22" x14ac:dyDescent="0.2">
      <c r="V2149" s="62"/>
    </row>
    <row r="2150" spans="22:22" x14ac:dyDescent="0.2">
      <c r="V2150" s="62"/>
    </row>
    <row r="2151" spans="22:22" x14ac:dyDescent="0.2">
      <c r="V2151" s="62"/>
    </row>
    <row r="2152" spans="22:22" x14ac:dyDescent="0.2">
      <c r="V2152" s="62"/>
    </row>
    <row r="2153" spans="22:22" x14ac:dyDescent="0.2">
      <c r="V2153" s="62"/>
    </row>
    <row r="2154" spans="22:22" x14ac:dyDescent="0.2">
      <c r="V2154" s="62"/>
    </row>
    <row r="2155" spans="22:22" x14ac:dyDescent="0.2">
      <c r="V2155" s="62"/>
    </row>
    <row r="2156" spans="22:22" x14ac:dyDescent="0.2">
      <c r="V2156" s="62"/>
    </row>
    <row r="2157" spans="22:22" x14ac:dyDescent="0.2">
      <c r="V2157" s="62"/>
    </row>
    <row r="2158" spans="22:22" x14ac:dyDescent="0.2">
      <c r="V2158" s="62"/>
    </row>
    <row r="2159" spans="22:22" x14ac:dyDescent="0.2">
      <c r="V2159" s="62"/>
    </row>
    <row r="2160" spans="22:22" x14ac:dyDescent="0.2">
      <c r="V2160" s="62"/>
    </row>
    <row r="2161" spans="22:22" x14ac:dyDescent="0.2">
      <c r="V2161" s="62"/>
    </row>
    <row r="2162" spans="22:22" x14ac:dyDescent="0.2">
      <c r="V2162" s="62"/>
    </row>
    <row r="2163" spans="22:22" x14ac:dyDescent="0.2">
      <c r="V2163" s="62"/>
    </row>
    <row r="2164" spans="22:22" x14ac:dyDescent="0.2">
      <c r="V2164" s="62"/>
    </row>
    <row r="2165" spans="22:22" x14ac:dyDescent="0.2">
      <c r="V2165" s="62"/>
    </row>
    <row r="2166" spans="22:22" x14ac:dyDescent="0.2">
      <c r="V2166" s="62"/>
    </row>
    <row r="2167" spans="22:22" x14ac:dyDescent="0.2">
      <c r="V2167" s="62"/>
    </row>
    <row r="2168" spans="22:22" x14ac:dyDescent="0.2">
      <c r="V2168" s="62"/>
    </row>
    <row r="2169" spans="22:22" x14ac:dyDescent="0.2">
      <c r="V2169" s="62"/>
    </row>
    <row r="2170" spans="22:22" x14ac:dyDescent="0.2">
      <c r="V2170" s="62"/>
    </row>
    <row r="2171" spans="22:22" x14ac:dyDescent="0.2">
      <c r="V2171" s="62"/>
    </row>
    <row r="2172" spans="22:22" x14ac:dyDescent="0.2">
      <c r="V2172" s="62"/>
    </row>
    <row r="2173" spans="22:22" x14ac:dyDescent="0.2">
      <c r="V2173" s="62"/>
    </row>
    <row r="2174" spans="22:22" x14ac:dyDescent="0.2">
      <c r="V2174" s="62"/>
    </row>
    <row r="2175" spans="22:22" x14ac:dyDescent="0.2">
      <c r="V2175" s="62"/>
    </row>
    <row r="2176" spans="22:22" x14ac:dyDescent="0.2">
      <c r="V2176" s="62"/>
    </row>
    <row r="2177" spans="22:22" x14ac:dyDescent="0.2">
      <c r="V2177" s="62"/>
    </row>
    <row r="2178" spans="22:22" x14ac:dyDescent="0.2">
      <c r="V2178" s="62"/>
    </row>
    <row r="2179" spans="22:22" x14ac:dyDescent="0.2">
      <c r="V2179" s="62"/>
    </row>
    <row r="2180" spans="22:22" x14ac:dyDescent="0.2">
      <c r="V2180" s="62"/>
    </row>
    <row r="2181" spans="22:22" x14ac:dyDescent="0.2">
      <c r="V2181" s="62"/>
    </row>
    <row r="2182" spans="22:22" x14ac:dyDescent="0.2">
      <c r="V2182" s="62"/>
    </row>
    <row r="2183" spans="22:22" x14ac:dyDescent="0.2">
      <c r="V2183" s="62"/>
    </row>
    <row r="2184" spans="22:22" x14ac:dyDescent="0.2">
      <c r="V2184" s="62"/>
    </row>
    <row r="2185" spans="22:22" x14ac:dyDescent="0.2">
      <c r="V2185" s="62"/>
    </row>
    <row r="2186" spans="22:22" x14ac:dyDescent="0.2">
      <c r="V2186" s="62"/>
    </row>
    <row r="2187" spans="22:22" x14ac:dyDescent="0.2">
      <c r="V2187" s="62"/>
    </row>
    <row r="2188" spans="22:22" x14ac:dyDescent="0.2">
      <c r="V2188" s="62"/>
    </row>
    <row r="2189" spans="22:22" x14ac:dyDescent="0.2">
      <c r="V2189" s="62"/>
    </row>
    <row r="2190" spans="22:22" x14ac:dyDescent="0.2">
      <c r="V2190" s="62"/>
    </row>
    <row r="2191" spans="22:22" x14ac:dyDescent="0.2">
      <c r="V2191" s="62"/>
    </row>
    <row r="2192" spans="22:22" x14ac:dyDescent="0.2">
      <c r="V2192" s="62"/>
    </row>
    <row r="2193" spans="22:22" x14ac:dyDescent="0.2">
      <c r="V2193" s="62"/>
    </row>
    <row r="2194" spans="22:22" x14ac:dyDescent="0.2">
      <c r="V2194" s="62"/>
    </row>
    <row r="2195" spans="22:22" x14ac:dyDescent="0.2">
      <c r="V2195" s="62"/>
    </row>
    <row r="2196" spans="22:22" x14ac:dyDescent="0.2">
      <c r="V2196" s="62"/>
    </row>
    <row r="2197" spans="22:22" x14ac:dyDescent="0.2">
      <c r="V2197" s="62"/>
    </row>
    <row r="2198" spans="22:22" x14ac:dyDescent="0.2">
      <c r="V2198" s="62"/>
    </row>
    <row r="2199" spans="22:22" x14ac:dyDescent="0.2">
      <c r="V2199" s="62"/>
    </row>
    <row r="2200" spans="22:22" x14ac:dyDescent="0.2">
      <c r="V2200" s="62"/>
    </row>
    <row r="2201" spans="22:22" x14ac:dyDescent="0.2">
      <c r="V2201" s="62"/>
    </row>
    <row r="2202" spans="22:22" x14ac:dyDescent="0.2">
      <c r="V2202" s="62"/>
    </row>
    <row r="2203" spans="22:22" x14ac:dyDescent="0.2">
      <c r="V2203" s="62"/>
    </row>
    <row r="2204" spans="22:22" x14ac:dyDescent="0.2">
      <c r="V2204" s="62"/>
    </row>
    <row r="2205" spans="22:22" x14ac:dyDescent="0.2">
      <c r="V2205" s="62"/>
    </row>
    <row r="2206" spans="22:22" x14ac:dyDescent="0.2">
      <c r="V2206" s="62"/>
    </row>
    <row r="2207" spans="22:22" x14ac:dyDescent="0.2">
      <c r="V2207" s="62"/>
    </row>
    <row r="2208" spans="22:22" x14ac:dyDescent="0.2">
      <c r="V2208" s="62"/>
    </row>
    <row r="2209" spans="22:22" x14ac:dyDescent="0.2">
      <c r="V2209" s="62"/>
    </row>
    <row r="2210" spans="22:22" x14ac:dyDescent="0.2">
      <c r="V2210" s="62"/>
    </row>
    <row r="2211" spans="22:22" x14ac:dyDescent="0.2">
      <c r="V2211" s="62"/>
    </row>
    <row r="2212" spans="22:22" x14ac:dyDescent="0.2">
      <c r="V2212" s="62"/>
    </row>
    <row r="2213" spans="22:22" x14ac:dyDescent="0.2">
      <c r="V2213" s="62"/>
    </row>
    <row r="2214" spans="22:22" x14ac:dyDescent="0.2">
      <c r="V2214" s="62"/>
    </row>
    <row r="2215" spans="22:22" x14ac:dyDescent="0.2">
      <c r="V2215" s="62"/>
    </row>
    <row r="2216" spans="22:22" x14ac:dyDescent="0.2">
      <c r="V2216" s="62"/>
    </row>
    <row r="2217" spans="22:22" x14ac:dyDescent="0.2">
      <c r="V2217" s="62"/>
    </row>
    <row r="2218" spans="22:22" x14ac:dyDescent="0.2">
      <c r="V2218" s="62"/>
    </row>
    <row r="2219" spans="22:22" x14ac:dyDescent="0.2">
      <c r="V2219" s="62"/>
    </row>
    <row r="2220" spans="22:22" x14ac:dyDescent="0.2">
      <c r="V2220" s="62"/>
    </row>
    <row r="2221" spans="22:22" x14ac:dyDescent="0.2">
      <c r="V2221" s="62"/>
    </row>
    <row r="2222" spans="22:22" x14ac:dyDescent="0.2">
      <c r="V2222" s="62"/>
    </row>
    <row r="2223" spans="22:22" x14ac:dyDescent="0.2">
      <c r="V2223" s="62"/>
    </row>
    <row r="2224" spans="22:22" x14ac:dyDescent="0.2">
      <c r="V2224" s="62"/>
    </row>
    <row r="2225" spans="22:22" x14ac:dyDescent="0.2">
      <c r="V2225" s="62"/>
    </row>
    <row r="2226" spans="22:22" x14ac:dyDescent="0.2">
      <c r="V2226" s="62"/>
    </row>
    <row r="2227" spans="22:22" x14ac:dyDescent="0.2">
      <c r="V2227" s="62"/>
    </row>
    <row r="2228" spans="22:22" x14ac:dyDescent="0.2">
      <c r="V2228" s="62"/>
    </row>
    <row r="2229" spans="22:22" x14ac:dyDescent="0.2">
      <c r="V2229" s="62"/>
    </row>
    <row r="2230" spans="22:22" x14ac:dyDescent="0.2">
      <c r="V2230" s="62"/>
    </row>
    <row r="2231" spans="22:22" x14ac:dyDescent="0.2">
      <c r="V2231" s="62"/>
    </row>
    <row r="2232" spans="22:22" x14ac:dyDescent="0.2">
      <c r="V2232" s="62"/>
    </row>
    <row r="2233" spans="22:22" x14ac:dyDescent="0.2">
      <c r="V2233" s="62"/>
    </row>
    <row r="2234" spans="22:22" x14ac:dyDescent="0.2">
      <c r="V2234" s="62"/>
    </row>
    <row r="2235" spans="22:22" x14ac:dyDescent="0.2">
      <c r="V2235" s="62"/>
    </row>
    <row r="2236" spans="22:22" x14ac:dyDescent="0.2">
      <c r="V2236" s="62"/>
    </row>
    <row r="2237" spans="22:22" x14ac:dyDescent="0.2">
      <c r="V2237" s="62"/>
    </row>
    <row r="2238" spans="22:22" x14ac:dyDescent="0.2">
      <c r="V2238" s="62"/>
    </row>
    <row r="2239" spans="22:22" x14ac:dyDescent="0.2">
      <c r="V2239" s="62"/>
    </row>
    <row r="2240" spans="22:22" x14ac:dyDescent="0.2">
      <c r="V2240" s="62"/>
    </row>
    <row r="2241" spans="22:22" x14ac:dyDescent="0.2">
      <c r="V2241" s="62"/>
    </row>
    <row r="2242" spans="22:22" x14ac:dyDescent="0.2">
      <c r="V2242" s="62"/>
    </row>
    <row r="2243" spans="22:22" x14ac:dyDescent="0.2">
      <c r="V2243" s="62"/>
    </row>
    <row r="2244" spans="22:22" x14ac:dyDescent="0.2">
      <c r="V2244" s="62"/>
    </row>
    <row r="2245" spans="22:22" x14ac:dyDescent="0.2">
      <c r="V2245" s="62"/>
    </row>
    <row r="2246" spans="22:22" x14ac:dyDescent="0.2">
      <c r="V2246" s="62"/>
    </row>
    <row r="2247" spans="22:22" x14ac:dyDescent="0.2">
      <c r="V2247" s="62"/>
    </row>
    <row r="2248" spans="22:22" x14ac:dyDescent="0.2">
      <c r="V2248" s="62"/>
    </row>
    <row r="2249" spans="22:22" x14ac:dyDescent="0.2">
      <c r="V2249" s="62"/>
    </row>
    <row r="2250" spans="22:22" x14ac:dyDescent="0.2">
      <c r="V2250" s="62"/>
    </row>
    <row r="2251" spans="22:22" x14ac:dyDescent="0.2">
      <c r="V2251" s="62"/>
    </row>
    <row r="2252" spans="22:22" x14ac:dyDescent="0.2">
      <c r="V2252" s="62"/>
    </row>
    <row r="2253" spans="22:22" x14ac:dyDescent="0.2">
      <c r="V2253" s="62"/>
    </row>
    <row r="2254" spans="22:22" x14ac:dyDescent="0.2">
      <c r="V2254" s="62"/>
    </row>
    <row r="2255" spans="22:22" x14ac:dyDescent="0.2">
      <c r="V2255" s="62"/>
    </row>
    <row r="2256" spans="22:22" x14ac:dyDescent="0.2">
      <c r="V2256" s="62"/>
    </row>
    <row r="2257" spans="22:22" x14ac:dyDescent="0.2">
      <c r="V2257" s="62"/>
    </row>
    <row r="2258" spans="22:22" x14ac:dyDescent="0.2">
      <c r="V2258" s="62"/>
    </row>
    <row r="2259" spans="22:22" x14ac:dyDescent="0.2">
      <c r="V2259" s="62"/>
    </row>
    <row r="2260" spans="22:22" x14ac:dyDescent="0.2">
      <c r="V2260" s="62"/>
    </row>
    <row r="2261" spans="22:22" x14ac:dyDescent="0.2">
      <c r="V2261" s="62"/>
    </row>
    <row r="2262" spans="22:22" x14ac:dyDescent="0.2">
      <c r="V2262" s="62"/>
    </row>
    <row r="2263" spans="22:22" x14ac:dyDescent="0.2">
      <c r="V2263" s="62"/>
    </row>
    <row r="2264" spans="22:22" x14ac:dyDescent="0.2">
      <c r="V2264" s="62"/>
    </row>
    <row r="2265" spans="22:22" x14ac:dyDescent="0.2">
      <c r="V2265" s="62"/>
    </row>
    <row r="2266" spans="22:22" x14ac:dyDescent="0.2">
      <c r="V2266" s="62"/>
    </row>
    <row r="2267" spans="22:22" x14ac:dyDescent="0.2">
      <c r="V2267" s="62"/>
    </row>
    <row r="2268" spans="22:22" x14ac:dyDescent="0.2">
      <c r="V2268" s="62"/>
    </row>
    <row r="2269" spans="22:22" x14ac:dyDescent="0.2">
      <c r="V2269" s="62"/>
    </row>
    <row r="2270" spans="22:22" x14ac:dyDescent="0.2">
      <c r="V2270" s="62"/>
    </row>
    <row r="2271" spans="22:22" x14ac:dyDescent="0.2">
      <c r="V2271" s="62"/>
    </row>
    <row r="2272" spans="22:22" x14ac:dyDescent="0.2">
      <c r="V2272" s="62"/>
    </row>
    <row r="2273" spans="22:22" x14ac:dyDescent="0.2">
      <c r="V2273" s="62"/>
    </row>
    <row r="2274" spans="22:22" x14ac:dyDescent="0.2">
      <c r="V2274" s="62"/>
    </row>
    <row r="2275" spans="22:22" x14ac:dyDescent="0.2">
      <c r="V2275" s="62"/>
    </row>
    <row r="2276" spans="22:22" x14ac:dyDescent="0.2">
      <c r="V2276" s="62"/>
    </row>
    <row r="2277" spans="22:22" x14ac:dyDescent="0.2">
      <c r="V2277" s="62"/>
    </row>
    <row r="2278" spans="22:22" x14ac:dyDescent="0.2">
      <c r="V2278" s="62"/>
    </row>
    <row r="2279" spans="22:22" x14ac:dyDescent="0.2">
      <c r="V2279" s="62"/>
    </row>
    <row r="2280" spans="22:22" x14ac:dyDescent="0.2">
      <c r="V2280" s="62"/>
    </row>
    <row r="2281" spans="22:22" x14ac:dyDescent="0.2">
      <c r="V2281" s="62"/>
    </row>
    <row r="2282" spans="22:22" x14ac:dyDescent="0.2">
      <c r="V2282" s="62"/>
    </row>
    <row r="2283" spans="22:22" x14ac:dyDescent="0.2">
      <c r="V2283" s="62"/>
    </row>
    <row r="2284" spans="22:22" x14ac:dyDescent="0.2">
      <c r="V2284" s="62"/>
    </row>
    <row r="2285" spans="22:22" x14ac:dyDescent="0.2">
      <c r="V2285" s="62"/>
    </row>
    <row r="2286" spans="22:22" x14ac:dyDescent="0.2">
      <c r="V2286" s="62"/>
    </row>
    <row r="2287" spans="22:22" x14ac:dyDescent="0.2">
      <c r="V2287" s="62"/>
    </row>
    <row r="2288" spans="22:22" x14ac:dyDescent="0.2">
      <c r="V2288" s="62"/>
    </row>
    <row r="2289" spans="22:22" x14ac:dyDescent="0.2">
      <c r="V2289" s="62"/>
    </row>
    <row r="2290" spans="22:22" x14ac:dyDescent="0.2">
      <c r="V2290" s="62"/>
    </row>
    <row r="2291" spans="22:22" x14ac:dyDescent="0.2">
      <c r="V2291" s="62"/>
    </row>
    <row r="2292" spans="22:22" x14ac:dyDescent="0.2">
      <c r="V2292" s="62"/>
    </row>
    <row r="2293" spans="22:22" x14ac:dyDescent="0.2">
      <c r="V2293" s="62"/>
    </row>
    <row r="2294" spans="22:22" x14ac:dyDescent="0.2">
      <c r="V2294" s="62"/>
    </row>
    <row r="2295" spans="22:22" x14ac:dyDescent="0.2">
      <c r="V2295" s="62"/>
    </row>
    <row r="2296" spans="22:22" x14ac:dyDescent="0.2">
      <c r="V2296" s="62"/>
    </row>
    <row r="2297" spans="22:22" x14ac:dyDescent="0.2">
      <c r="V2297" s="62"/>
    </row>
    <row r="2298" spans="22:22" x14ac:dyDescent="0.2">
      <c r="V2298" s="62"/>
    </row>
    <row r="2299" spans="22:22" x14ac:dyDescent="0.2">
      <c r="V2299" s="62"/>
    </row>
    <row r="2300" spans="22:22" x14ac:dyDescent="0.2">
      <c r="V2300" s="62"/>
    </row>
    <row r="2301" spans="22:22" x14ac:dyDescent="0.2">
      <c r="V2301" s="62"/>
    </row>
    <row r="2302" spans="22:22" x14ac:dyDescent="0.2">
      <c r="V2302" s="62"/>
    </row>
    <row r="2303" spans="22:22" x14ac:dyDescent="0.2">
      <c r="V2303" s="62"/>
    </row>
    <row r="2304" spans="22:22" x14ac:dyDescent="0.2">
      <c r="V2304" s="62"/>
    </row>
    <row r="2305" spans="22:22" x14ac:dyDescent="0.2">
      <c r="V2305" s="62"/>
    </row>
    <row r="2306" spans="22:22" x14ac:dyDescent="0.2">
      <c r="V2306" s="62"/>
    </row>
    <row r="2307" spans="22:22" x14ac:dyDescent="0.2">
      <c r="V2307" s="62"/>
    </row>
    <row r="2308" spans="22:22" x14ac:dyDescent="0.2">
      <c r="V2308" s="62"/>
    </row>
    <row r="2309" spans="22:22" x14ac:dyDescent="0.2">
      <c r="V2309" s="62"/>
    </row>
    <row r="2310" spans="22:22" x14ac:dyDescent="0.2">
      <c r="V2310" s="62"/>
    </row>
    <row r="2311" spans="22:22" x14ac:dyDescent="0.2">
      <c r="V2311" s="62"/>
    </row>
    <row r="2312" spans="22:22" x14ac:dyDescent="0.2">
      <c r="V2312" s="62"/>
    </row>
    <row r="2313" spans="22:22" x14ac:dyDescent="0.2">
      <c r="V2313" s="62"/>
    </row>
    <row r="2314" spans="22:22" x14ac:dyDescent="0.2">
      <c r="V2314" s="62"/>
    </row>
    <row r="2315" spans="22:22" x14ac:dyDescent="0.2">
      <c r="V2315" s="62"/>
    </row>
    <row r="2316" spans="22:22" x14ac:dyDescent="0.2">
      <c r="V2316" s="62"/>
    </row>
    <row r="2317" spans="22:22" x14ac:dyDescent="0.2">
      <c r="V2317" s="62"/>
    </row>
    <row r="2318" spans="22:22" x14ac:dyDescent="0.2">
      <c r="V2318" s="62"/>
    </row>
    <row r="2319" spans="22:22" x14ac:dyDescent="0.2">
      <c r="V2319" s="62"/>
    </row>
    <row r="2320" spans="22:22" x14ac:dyDescent="0.2">
      <c r="V2320" s="62"/>
    </row>
    <row r="2321" spans="22:22" x14ac:dyDescent="0.2">
      <c r="V2321" s="62"/>
    </row>
    <row r="2322" spans="22:22" x14ac:dyDescent="0.2">
      <c r="V2322" s="62"/>
    </row>
    <row r="2323" spans="22:22" x14ac:dyDescent="0.2">
      <c r="V2323" s="62"/>
    </row>
    <row r="2324" spans="22:22" x14ac:dyDescent="0.2">
      <c r="V2324" s="62"/>
    </row>
    <row r="2325" spans="22:22" x14ac:dyDescent="0.2">
      <c r="V2325" s="62"/>
    </row>
    <row r="2326" spans="22:22" x14ac:dyDescent="0.2">
      <c r="V2326" s="62"/>
    </row>
    <row r="2327" spans="22:22" x14ac:dyDescent="0.2">
      <c r="V2327" s="62"/>
    </row>
    <row r="2328" spans="22:22" x14ac:dyDescent="0.2">
      <c r="V2328" s="62"/>
    </row>
    <row r="2329" spans="22:22" x14ac:dyDescent="0.2">
      <c r="V2329" s="62"/>
    </row>
    <row r="2330" spans="22:22" x14ac:dyDescent="0.2">
      <c r="V2330" s="62"/>
    </row>
    <row r="2331" spans="22:22" x14ac:dyDescent="0.2">
      <c r="V2331" s="62"/>
    </row>
    <row r="2332" spans="22:22" x14ac:dyDescent="0.2">
      <c r="V2332" s="62"/>
    </row>
    <row r="2333" spans="22:22" x14ac:dyDescent="0.2">
      <c r="V2333" s="62"/>
    </row>
    <row r="2334" spans="22:22" x14ac:dyDescent="0.2">
      <c r="V2334" s="62"/>
    </row>
    <row r="2335" spans="22:22" x14ac:dyDescent="0.2">
      <c r="V2335" s="62"/>
    </row>
    <row r="2336" spans="22:22" x14ac:dyDescent="0.2">
      <c r="V2336" s="62"/>
    </row>
    <row r="2337" spans="22:22" x14ac:dyDescent="0.2">
      <c r="V2337" s="62"/>
    </row>
    <row r="2338" spans="22:22" x14ac:dyDescent="0.2">
      <c r="V2338" s="62"/>
    </row>
    <row r="2339" spans="22:22" x14ac:dyDescent="0.2">
      <c r="V2339" s="62"/>
    </row>
    <row r="2340" spans="22:22" x14ac:dyDescent="0.2">
      <c r="V2340" s="62"/>
    </row>
    <row r="2341" spans="22:22" x14ac:dyDescent="0.2">
      <c r="V2341" s="62"/>
    </row>
    <row r="2342" spans="22:22" x14ac:dyDescent="0.2">
      <c r="V2342" s="62"/>
    </row>
    <row r="2343" spans="22:22" x14ac:dyDescent="0.2">
      <c r="V2343" s="62"/>
    </row>
    <row r="2344" spans="22:22" x14ac:dyDescent="0.2">
      <c r="V2344" s="62"/>
    </row>
    <row r="2345" spans="22:22" x14ac:dyDescent="0.2">
      <c r="V2345" s="62"/>
    </row>
    <row r="2346" spans="22:22" x14ac:dyDescent="0.2">
      <c r="V2346" s="62"/>
    </row>
    <row r="2347" spans="22:22" x14ac:dyDescent="0.2">
      <c r="V2347" s="62"/>
    </row>
    <row r="2348" spans="22:22" x14ac:dyDescent="0.2">
      <c r="V2348" s="62"/>
    </row>
    <row r="2349" spans="22:22" x14ac:dyDescent="0.2">
      <c r="V2349" s="62"/>
    </row>
    <row r="2350" spans="22:22" x14ac:dyDescent="0.2">
      <c r="V2350" s="62"/>
    </row>
    <row r="2351" spans="22:22" x14ac:dyDescent="0.2">
      <c r="V2351" s="62"/>
    </row>
    <row r="2352" spans="22:22" x14ac:dyDescent="0.2">
      <c r="V2352" s="62"/>
    </row>
    <row r="2353" spans="22:22" x14ac:dyDescent="0.2">
      <c r="V2353" s="62"/>
    </row>
    <row r="2354" spans="22:22" x14ac:dyDescent="0.2">
      <c r="V2354" s="62"/>
    </row>
    <row r="2355" spans="22:22" x14ac:dyDescent="0.2">
      <c r="V2355" s="62"/>
    </row>
    <row r="2356" spans="22:22" x14ac:dyDescent="0.2">
      <c r="V2356" s="62"/>
    </row>
    <row r="2357" spans="22:22" x14ac:dyDescent="0.2">
      <c r="V2357" s="62"/>
    </row>
    <row r="2358" spans="22:22" x14ac:dyDescent="0.2">
      <c r="V2358" s="62"/>
    </row>
    <row r="2359" spans="22:22" x14ac:dyDescent="0.2">
      <c r="V2359" s="62"/>
    </row>
    <row r="2360" spans="22:22" x14ac:dyDescent="0.2">
      <c r="V2360" s="62"/>
    </row>
    <row r="2361" spans="22:22" x14ac:dyDescent="0.2">
      <c r="V2361" s="62"/>
    </row>
    <row r="2362" spans="22:22" x14ac:dyDescent="0.2">
      <c r="V2362" s="62"/>
    </row>
    <row r="2363" spans="22:22" x14ac:dyDescent="0.2">
      <c r="V2363" s="62"/>
    </row>
    <row r="2364" spans="22:22" x14ac:dyDescent="0.2">
      <c r="V2364" s="62"/>
    </row>
    <row r="2365" spans="22:22" x14ac:dyDescent="0.2">
      <c r="V2365" s="62"/>
    </row>
    <row r="2366" spans="22:22" x14ac:dyDescent="0.2">
      <c r="V2366" s="62"/>
    </row>
    <row r="2367" spans="22:22" x14ac:dyDescent="0.2">
      <c r="V2367" s="62"/>
    </row>
    <row r="2368" spans="22:22" x14ac:dyDescent="0.2">
      <c r="V2368" s="62"/>
    </row>
    <row r="2369" spans="22:22" x14ac:dyDescent="0.2">
      <c r="V2369" s="62"/>
    </row>
    <row r="2370" spans="22:22" x14ac:dyDescent="0.2">
      <c r="V2370" s="62"/>
    </row>
    <row r="2371" spans="22:22" x14ac:dyDescent="0.2">
      <c r="V2371" s="62"/>
    </row>
    <row r="2372" spans="22:22" x14ac:dyDescent="0.2">
      <c r="V2372" s="62"/>
    </row>
    <row r="2373" spans="22:22" x14ac:dyDescent="0.2">
      <c r="V2373" s="62"/>
    </row>
    <row r="2374" spans="22:22" x14ac:dyDescent="0.2">
      <c r="V2374" s="62"/>
    </row>
    <row r="2375" spans="22:22" x14ac:dyDescent="0.2">
      <c r="V2375" s="62"/>
    </row>
    <row r="2376" spans="22:22" x14ac:dyDescent="0.2">
      <c r="V2376" s="62"/>
    </row>
    <row r="2377" spans="22:22" x14ac:dyDescent="0.2">
      <c r="V2377" s="62"/>
    </row>
    <row r="2378" spans="22:22" x14ac:dyDescent="0.2">
      <c r="V2378" s="62"/>
    </row>
    <row r="2379" spans="22:22" x14ac:dyDescent="0.2">
      <c r="V2379" s="62"/>
    </row>
    <row r="2380" spans="22:22" x14ac:dyDescent="0.2">
      <c r="V2380" s="62"/>
    </row>
    <row r="2381" spans="22:22" x14ac:dyDescent="0.2">
      <c r="V2381" s="62"/>
    </row>
    <row r="2382" spans="22:22" x14ac:dyDescent="0.2">
      <c r="V2382" s="62"/>
    </row>
    <row r="2383" spans="22:22" x14ac:dyDescent="0.2">
      <c r="V2383" s="62"/>
    </row>
    <row r="2384" spans="22:22" x14ac:dyDescent="0.2">
      <c r="V2384" s="62"/>
    </row>
    <row r="2385" spans="22:22" x14ac:dyDescent="0.2">
      <c r="V2385" s="62"/>
    </row>
    <row r="2386" spans="22:22" x14ac:dyDescent="0.2">
      <c r="V2386" s="62"/>
    </row>
    <row r="2387" spans="22:22" x14ac:dyDescent="0.2">
      <c r="V2387" s="62"/>
    </row>
    <row r="2388" spans="22:22" x14ac:dyDescent="0.2">
      <c r="V2388" s="62"/>
    </row>
    <row r="2389" spans="22:22" x14ac:dyDescent="0.2">
      <c r="V2389" s="62"/>
    </row>
    <row r="2390" spans="22:22" x14ac:dyDescent="0.2">
      <c r="V2390" s="62"/>
    </row>
    <row r="2391" spans="22:22" x14ac:dyDescent="0.2">
      <c r="V2391" s="62"/>
    </row>
    <row r="2392" spans="22:22" x14ac:dyDescent="0.2">
      <c r="V2392" s="62"/>
    </row>
    <row r="2393" spans="22:22" x14ac:dyDescent="0.2">
      <c r="V2393" s="62"/>
    </row>
    <row r="2394" spans="22:22" x14ac:dyDescent="0.2">
      <c r="V2394" s="62"/>
    </row>
    <row r="2395" spans="22:22" x14ac:dyDescent="0.2">
      <c r="V2395" s="62"/>
    </row>
    <row r="2396" spans="22:22" x14ac:dyDescent="0.2">
      <c r="V2396" s="62"/>
    </row>
    <row r="2397" spans="22:22" x14ac:dyDescent="0.2">
      <c r="V2397" s="62"/>
    </row>
    <row r="2398" spans="22:22" x14ac:dyDescent="0.2">
      <c r="V2398" s="62"/>
    </row>
    <row r="2399" spans="22:22" x14ac:dyDescent="0.2">
      <c r="V2399" s="62"/>
    </row>
    <row r="2400" spans="22:22" x14ac:dyDescent="0.2">
      <c r="V2400" s="62"/>
    </row>
    <row r="2401" spans="22:22" x14ac:dyDescent="0.2">
      <c r="V2401" s="62"/>
    </row>
    <row r="2402" spans="22:22" x14ac:dyDescent="0.2">
      <c r="V2402" s="62"/>
    </row>
    <row r="2403" spans="22:22" x14ac:dyDescent="0.2">
      <c r="V2403" s="62"/>
    </row>
    <row r="2404" spans="22:22" x14ac:dyDescent="0.2">
      <c r="V2404" s="62"/>
    </row>
    <row r="2405" spans="22:22" x14ac:dyDescent="0.2">
      <c r="V2405" s="62"/>
    </row>
    <row r="2406" spans="22:22" x14ac:dyDescent="0.2">
      <c r="V2406" s="62"/>
    </row>
    <row r="2407" spans="22:22" x14ac:dyDescent="0.2">
      <c r="V2407" s="62"/>
    </row>
    <row r="2408" spans="22:22" x14ac:dyDescent="0.2">
      <c r="V2408" s="62"/>
    </row>
    <row r="2409" spans="22:22" x14ac:dyDescent="0.2">
      <c r="V2409" s="62"/>
    </row>
    <row r="2410" spans="22:22" x14ac:dyDescent="0.2">
      <c r="V2410" s="62"/>
    </row>
    <row r="2411" spans="22:22" x14ac:dyDescent="0.2">
      <c r="V2411" s="62"/>
    </row>
    <row r="2412" spans="22:22" x14ac:dyDescent="0.2">
      <c r="V2412" s="62"/>
    </row>
    <row r="2413" spans="22:22" x14ac:dyDescent="0.2">
      <c r="V2413" s="62"/>
    </row>
    <row r="2414" spans="22:22" x14ac:dyDescent="0.2">
      <c r="V2414" s="62"/>
    </row>
    <row r="2415" spans="22:22" x14ac:dyDescent="0.2">
      <c r="V2415" s="62"/>
    </row>
    <row r="2416" spans="22:22" x14ac:dyDescent="0.2">
      <c r="V2416" s="62"/>
    </row>
    <row r="2417" spans="22:22" x14ac:dyDescent="0.2">
      <c r="V2417" s="62"/>
    </row>
    <row r="2418" spans="22:22" x14ac:dyDescent="0.2">
      <c r="V2418" s="62"/>
    </row>
    <row r="2419" spans="22:22" x14ac:dyDescent="0.2">
      <c r="V2419" s="62"/>
    </row>
    <row r="2420" spans="22:22" x14ac:dyDescent="0.2">
      <c r="V2420" s="62"/>
    </row>
    <row r="2421" spans="22:22" x14ac:dyDescent="0.2">
      <c r="V2421" s="62"/>
    </row>
    <row r="2422" spans="22:22" x14ac:dyDescent="0.2">
      <c r="V2422" s="62"/>
    </row>
    <row r="2423" spans="22:22" x14ac:dyDescent="0.2">
      <c r="V2423" s="62"/>
    </row>
    <row r="2424" spans="22:22" x14ac:dyDescent="0.2">
      <c r="V2424" s="62"/>
    </row>
    <row r="2425" spans="22:22" x14ac:dyDescent="0.2">
      <c r="V2425" s="62"/>
    </row>
    <row r="2426" spans="22:22" x14ac:dyDescent="0.2">
      <c r="V2426" s="62"/>
    </row>
    <row r="2427" spans="22:22" x14ac:dyDescent="0.2">
      <c r="V2427" s="62"/>
    </row>
    <row r="2428" spans="22:22" x14ac:dyDescent="0.2">
      <c r="V2428" s="62"/>
    </row>
    <row r="2429" spans="22:22" x14ac:dyDescent="0.2">
      <c r="V2429" s="62"/>
    </row>
    <row r="2430" spans="22:22" x14ac:dyDescent="0.2">
      <c r="V2430" s="62"/>
    </row>
    <row r="2431" spans="22:22" x14ac:dyDescent="0.2">
      <c r="V2431" s="62"/>
    </row>
    <row r="2432" spans="22:22" x14ac:dyDescent="0.2">
      <c r="V2432" s="62"/>
    </row>
    <row r="2433" spans="22:22" x14ac:dyDescent="0.2">
      <c r="V2433" s="62"/>
    </row>
    <row r="2434" spans="22:22" x14ac:dyDescent="0.2">
      <c r="V2434" s="62"/>
    </row>
    <row r="2435" spans="22:22" x14ac:dyDescent="0.2">
      <c r="V2435" s="62"/>
    </row>
    <row r="2436" spans="22:22" x14ac:dyDescent="0.2">
      <c r="V2436" s="62"/>
    </row>
    <row r="2437" spans="22:22" x14ac:dyDescent="0.2">
      <c r="V2437" s="62"/>
    </row>
    <row r="2438" spans="22:22" x14ac:dyDescent="0.2">
      <c r="V2438" s="62"/>
    </row>
    <row r="2439" spans="22:22" x14ac:dyDescent="0.2">
      <c r="V2439" s="62"/>
    </row>
    <row r="2440" spans="22:22" x14ac:dyDescent="0.2">
      <c r="V2440" s="62"/>
    </row>
    <row r="2441" spans="22:22" x14ac:dyDescent="0.2">
      <c r="V2441" s="62"/>
    </row>
    <row r="2442" spans="22:22" x14ac:dyDescent="0.2">
      <c r="V2442" s="62"/>
    </row>
    <row r="2443" spans="22:22" x14ac:dyDescent="0.2">
      <c r="V2443" s="62"/>
    </row>
    <row r="2444" spans="22:22" x14ac:dyDescent="0.2">
      <c r="V2444" s="62"/>
    </row>
    <row r="2445" spans="22:22" x14ac:dyDescent="0.2">
      <c r="V2445" s="62"/>
    </row>
    <row r="2446" spans="22:22" x14ac:dyDescent="0.2">
      <c r="V2446" s="62"/>
    </row>
    <row r="2447" spans="22:22" x14ac:dyDescent="0.2">
      <c r="V2447" s="62"/>
    </row>
    <row r="2448" spans="22:22" x14ac:dyDescent="0.2">
      <c r="V2448" s="62"/>
    </row>
    <row r="2449" spans="22:22" x14ac:dyDescent="0.2">
      <c r="V2449" s="62"/>
    </row>
    <row r="2450" spans="22:22" x14ac:dyDescent="0.2">
      <c r="V2450" s="62"/>
    </row>
    <row r="2451" spans="22:22" x14ac:dyDescent="0.2">
      <c r="V2451" s="62"/>
    </row>
    <row r="2452" spans="22:22" x14ac:dyDescent="0.2">
      <c r="V2452" s="62"/>
    </row>
    <row r="2453" spans="22:22" x14ac:dyDescent="0.2">
      <c r="V2453" s="62"/>
    </row>
    <row r="2454" spans="22:22" x14ac:dyDescent="0.2">
      <c r="V2454" s="62"/>
    </row>
    <row r="2455" spans="22:22" x14ac:dyDescent="0.2">
      <c r="V2455" s="62"/>
    </row>
    <row r="2456" spans="22:22" x14ac:dyDescent="0.2">
      <c r="V2456" s="62"/>
    </row>
    <row r="2457" spans="22:22" x14ac:dyDescent="0.2">
      <c r="V2457" s="62"/>
    </row>
    <row r="2458" spans="22:22" x14ac:dyDescent="0.2">
      <c r="V2458" s="62"/>
    </row>
    <row r="2459" spans="22:22" x14ac:dyDescent="0.2">
      <c r="V2459" s="62"/>
    </row>
    <row r="2460" spans="22:22" x14ac:dyDescent="0.2">
      <c r="V2460" s="62"/>
    </row>
    <row r="2461" spans="22:22" x14ac:dyDescent="0.2">
      <c r="V2461" s="62"/>
    </row>
    <row r="2462" spans="22:22" x14ac:dyDescent="0.2">
      <c r="V2462" s="62"/>
    </row>
    <row r="2463" spans="22:22" x14ac:dyDescent="0.2">
      <c r="V2463" s="62"/>
    </row>
    <row r="2464" spans="22:22" x14ac:dyDescent="0.2">
      <c r="V2464" s="62"/>
    </row>
    <row r="2465" spans="22:22" x14ac:dyDescent="0.2">
      <c r="V2465" s="62"/>
    </row>
    <row r="2466" spans="22:22" x14ac:dyDescent="0.2">
      <c r="V2466" s="62"/>
    </row>
    <row r="2467" spans="22:22" x14ac:dyDescent="0.2">
      <c r="V2467" s="62"/>
    </row>
    <row r="2468" spans="22:22" x14ac:dyDescent="0.2">
      <c r="V2468" s="62"/>
    </row>
    <row r="2469" spans="22:22" x14ac:dyDescent="0.2">
      <c r="V2469" s="62"/>
    </row>
    <row r="2470" spans="22:22" x14ac:dyDescent="0.2">
      <c r="V2470" s="62"/>
    </row>
    <row r="2471" spans="22:22" x14ac:dyDescent="0.2">
      <c r="V2471" s="62"/>
    </row>
    <row r="2472" spans="22:22" x14ac:dyDescent="0.2">
      <c r="V2472" s="62"/>
    </row>
    <row r="2473" spans="22:22" x14ac:dyDescent="0.2">
      <c r="V2473" s="62"/>
    </row>
    <row r="2474" spans="22:22" x14ac:dyDescent="0.2">
      <c r="V2474" s="62"/>
    </row>
    <row r="2475" spans="22:22" x14ac:dyDescent="0.2">
      <c r="V2475" s="62"/>
    </row>
    <row r="2476" spans="22:22" x14ac:dyDescent="0.2">
      <c r="V2476" s="62"/>
    </row>
    <row r="2477" spans="22:22" x14ac:dyDescent="0.2">
      <c r="V2477" s="62"/>
    </row>
    <row r="2478" spans="22:22" x14ac:dyDescent="0.2">
      <c r="V2478" s="62"/>
    </row>
    <row r="2479" spans="22:22" x14ac:dyDescent="0.2">
      <c r="V2479" s="62"/>
    </row>
    <row r="2480" spans="22:22" x14ac:dyDescent="0.2">
      <c r="V2480" s="62"/>
    </row>
    <row r="2481" spans="22:22" x14ac:dyDescent="0.2">
      <c r="V2481" s="62"/>
    </row>
    <row r="2482" spans="22:22" x14ac:dyDescent="0.2">
      <c r="V2482" s="62"/>
    </row>
    <row r="2483" spans="22:22" x14ac:dyDescent="0.2">
      <c r="V2483" s="62"/>
    </row>
    <row r="2484" spans="22:22" x14ac:dyDescent="0.2">
      <c r="V2484" s="62"/>
    </row>
    <row r="2485" spans="22:22" x14ac:dyDescent="0.2">
      <c r="V2485" s="62"/>
    </row>
    <row r="2486" spans="22:22" x14ac:dyDescent="0.2">
      <c r="V2486" s="62"/>
    </row>
    <row r="2487" spans="22:22" x14ac:dyDescent="0.2">
      <c r="V2487" s="62"/>
    </row>
    <row r="2488" spans="22:22" x14ac:dyDescent="0.2">
      <c r="V2488" s="62"/>
    </row>
    <row r="2489" spans="22:22" x14ac:dyDescent="0.2">
      <c r="V2489" s="62"/>
    </row>
    <row r="2490" spans="22:22" x14ac:dyDescent="0.2">
      <c r="V2490" s="62"/>
    </row>
    <row r="2491" spans="22:22" x14ac:dyDescent="0.2">
      <c r="V2491" s="62"/>
    </row>
    <row r="2492" spans="22:22" x14ac:dyDescent="0.2">
      <c r="V2492" s="62"/>
    </row>
    <row r="2493" spans="22:22" x14ac:dyDescent="0.2">
      <c r="V2493" s="62"/>
    </row>
    <row r="2494" spans="22:22" x14ac:dyDescent="0.2">
      <c r="V2494" s="62"/>
    </row>
    <row r="2495" spans="22:22" x14ac:dyDescent="0.2">
      <c r="V2495" s="62"/>
    </row>
    <row r="2496" spans="22:22" x14ac:dyDescent="0.2">
      <c r="V2496" s="62"/>
    </row>
    <row r="2497" spans="22:22" x14ac:dyDescent="0.2">
      <c r="V2497" s="62"/>
    </row>
    <row r="2498" spans="22:22" x14ac:dyDescent="0.2">
      <c r="V2498" s="62"/>
    </row>
    <row r="2499" spans="22:22" x14ac:dyDescent="0.2">
      <c r="V2499" s="62"/>
    </row>
    <row r="2500" spans="22:22" x14ac:dyDescent="0.2">
      <c r="V2500" s="62"/>
    </row>
    <row r="2501" spans="22:22" x14ac:dyDescent="0.2">
      <c r="V2501" s="62"/>
    </row>
    <row r="2502" spans="22:22" x14ac:dyDescent="0.2">
      <c r="V2502" s="62"/>
    </row>
    <row r="2503" spans="22:22" x14ac:dyDescent="0.2">
      <c r="V2503" s="62"/>
    </row>
    <row r="2504" spans="22:22" x14ac:dyDescent="0.2">
      <c r="V2504" s="62"/>
    </row>
    <row r="2505" spans="22:22" x14ac:dyDescent="0.2">
      <c r="V2505" s="62"/>
    </row>
    <row r="2506" spans="22:22" x14ac:dyDescent="0.2">
      <c r="V2506" s="62"/>
    </row>
    <row r="2507" spans="22:22" x14ac:dyDescent="0.2">
      <c r="V2507" s="62"/>
    </row>
    <row r="2508" spans="22:22" x14ac:dyDescent="0.2">
      <c r="V2508" s="62"/>
    </row>
    <row r="2509" spans="22:22" x14ac:dyDescent="0.2">
      <c r="V2509" s="62"/>
    </row>
    <row r="2510" spans="22:22" x14ac:dyDescent="0.2">
      <c r="V2510" s="62"/>
    </row>
    <row r="2511" spans="22:22" x14ac:dyDescent="0.2">
      <c r="V2511" s="62"/>
    </row>
    <row r="2512" spans="22:22" x14ac:dyDescent="0.2">
      <c r="V2512" s="62"/>
    </row>
    <row r="2513" spans="22:22" x14ac:dyDescent="0.2">
      <c r="V2513" s="62"/>
    </row>
    <row r="2514" spans="22:22" x14ac:dyDescent="0.2">
      <c r="V2514" s="62"/>
    </row>
    <row r="2515" spans="22:22" x14ac:dyDescent="0.2">
      <c r="V2515" s="62"/>
    </row>
    <row r="2516" spans="22:22" x14ac:dyDescent="0.2">
      <c r="V2516" s="62"/>
    </row>
    <row r="2517" spans="22:22" x14ac:dyDescent="0.2">
      <c r="V2517" s="62"/>
    </row>
    <row r="2518" spans="22:22" x14ac:dyDescent="0.2">
      <c r="V2518" s="62"/>
    </row>
    <row r="2519" spans="22:22" x14ac:dyDescent="0.2">
      <c r="V2519" s="62"/>
    </row>
    <row r="2520" spans="22:22" x14ac:dyDescent="0.2">
      <c r="V2520" s="62"/>
    </row>
    <row r="2521" spans="22:22" x14ac:dyDescent="0.2">
      <c r="V2521" s="62"/>
    </row>
    <row r="2522" spans="22:22" x14ac:dyDescent="0.2">
      <c r="V2522" s="62"/>
    </row>
    <row r="2523" spans="22:22" x14ac:dyDescent="0.2">
      <c r="V2523" s="62"/>
    </row>
    <row r="2524" spans="22:22" x14ac:dyDescent="0.2">
      <c r="V2524" s="62"/>
    </row>
    <row r="2525" spans="22:22" x14ac:dyDescent="0.2">
      <c r="V2525" s="62"/>
    </row>
    <row r="2526" spans="22:22" x14ac:dyDescent="0.2">
      <c r="V2526" s="62"/>
    </row>
    <row r="2527" spans="22:22" x14ac:dyDescent="0.2">
      <c r="V2527" s="62"/>
    </row>
    <row r="2528" spans="22:22" x14ac:dyDescent="0.2">
      <c r="V2528" s="62"/>
    </row>
    <row r="2529" spans="22:22" x14ac:dyDescent="0.2">
      <c r="V2529" s="62"/>
    </row>
    <row r="2530" spans="22:22" x14ac:dyDescent="0.2">
      <c r="V2530" s="62"/>
    </row>
    <row r="2531" spans="22:22" x14ac:dyDescent="0.2">
      <c r="V2531" s="62"/>
    </row>
    <row r="2532" spans="22:22" x14ac:dyDescent="0.2">
      <c r="V2532" s="62"/>
    </row>
    <row r="2533" spans="22:22" x14ac:dyDescent="0.2">
      <c r="V2533" s="62"/>
    </row>
    <row r="2534" spans="22:22" x14ac:dyDescent="0.2">
      <c r="V2534" s="62"/>
    </row>
    <row r="2535" spans="22:22" x14ac:dyDescent="0.2">
      <c r="V2535" s="62"/>
    </row>
    <row r="2536" spans="22:22" x14ac:dyDescent="0.2">
      <c r="V2536" s="62"/>
    </row>
    <row r="2537" spans="22:22" x14ac:dyDescent="0.2">
      <c r="V2537" s="62"/>
    </row>
    <row r="2538" spans="22:22" x14ac:dyDescent="0.2">
      <c r="V2538" s="62"/>
    </row>
    <row r="2539" spans="22:22" x14ac:dyDescent="0.2">
      <c r="V2539" s="62"/>
    </row>
    <row r="2540" spans="22:22" x14ac:dyDescent="0.2">
      <c r="V2540" s="62"/>
    </row>
    <row r="2541" spans="22:22" x14ac:dyDescent="0.2">
      <c r="V2541" s="62"/>
    </row>
    <row r="2542" spans="22:22" x14ac:dyDescent="0.2">
      <c r="V2542" s="62"/>
    </row>
    <row r="2543" spans="22:22" x14ac:dyDescent="0.2">
      <c r="V2543" s="62"/>
    </row>
    <row r="2544" spans="22:22" x14ac:dyDescent="0.2">
      <c r="V2544" s="62"/>
    </row>
    <row r="2545" spans="22:22" x14ac:dyDescent="0.2">
      <c r="V2545" s="62"/>
    </row>
    <row r="2546" spans="22:22" x14ac:dyDescent="0.2">
      <c r="V2546" s="62"/>
    </row>
    <row r="2547" spans="22:22" x14ac:dyDescent="0.2">
      <c r="V2547" s="62"/>
    </row>
    <row r="2548" spans="22:22" x14ac:dyDescent="0.2">
      <c r="V2548" s="62"/>
    </row>
    <row r="2549" spans="22:22" x14ac:dyDescent="0.2">
      <c r="V2549" s="62"/>
    </row>
    <row r="2550" spans="22:22" x14ac:dyDescent="0.2">
      <c r="V2550" s="62"/>
    </row>
    <row r="2551" spans="22:22" x14ac:dyDescent="0.2">
      <c r="V2551" s="62"/>
    </row>
    <row r="2552" spans="22:22" x14ac:dyDescent="0.2">
      <c r="V2552" s="62"/>
    </row>
    <row r="2553" spans="22:22" x14ac:dyDescent="0.2">
      <c r="V2553" s="62"/>
    </row>
    <row r="2554" spans="22:22" x14ac:dyDescent="0.2">
      <c r="V2554" s="62"/>
    </row>
    <row r="2555" spans="22:22" x14ac:dyDescent="0.2">
      <c r="V2555" s="62"/>
    </row>
    <row r="2556" spans="22:22" x14ac:dyDescent="0.2">
      <c r="V2556" s="62"/>
    </row>
    <row r="2557" spans="22:22" x14ac:dyDescent="0.2">
      <c r="V2557" s="62"/>
    </row>
    <row r="2558" spans="22:22" x14ac:dyDescent="0.2">
      <c r="V2558" s="62"/>
    </row>
    <row r="2559" spans="22:22" x14ac:dyDescent="0.2">
      <c r="V2559" s="62"/>
    </row>
    <row r="2560" spans="22:22" x14ac:dyDescent="0.2">
      <c r="V2560" s="62"/>
    </row>
    <row r="2561" spans="22:22" x14ac:dyDescent="0.2">
      <c r="V2561" s="62"/>
    </row>
    <row r="2562" spans="22:22" x14ac:dyDescent="0.2">
      <c r="V2562" s="62"/>
    </row>
    <row r="2563" spans="22:22" x14ac:dyDescent="0.2">
      <c r="V2563" s="62"/>
    </row>
    <row r="2564" spans="22:22" x14ac:dyDescent="0.2">
      <c r="V2564" s="62"/>
    </row>
    <row r="2565" spans="22:22" x14ac:dyDescent="0.2">
      <c r="V2565" s="62"/>
    </row>
    <row r="2566" spans="22:22" x14ac:dyDescent="0.2">
      <c r="V2566" s="62"/>
    </row>
    <row r="2567" spans="22:22" x14ac:dyDescent="0.2">
      <c r="V2567" s="62"/>
    </row>
    <row r="2568" spans="22:22" x14ac:dyDescent="0.2">
      <c r="V2568" s="62"/>
    </row>
    <row r="2569" spans="22:22" x14ac:dyDescent="0.2">
      <c r="V2569" s="62"/>
    </row>
    <row r="2570" spans="22:22" x14ac:dyDescent="0.2">
      <c r="V2570" s="62"/>
    </row>
    <row r="2571" spans="22:22" x14ac:dyDescent="0.2">
      <c r="V2571" s="62"/>
    </row>
    <row r="2572" spans="22:22" x14ac:dyDescent="0.2">
      <c r="V2572" s="62"/>
    </row>
    <row r="2573" spans="22:22" x14ac:dyDescent="0.2">
      <c r="V2573" s="62"/>
    </row>
    <row r="2574" spans="22:22" x14ac:dyDescent="0.2">
      <c r="V2574" s="62"/>
    </row>
    <row r="2575" spans="22:22" x14ac:dyDescent="0.2">
      <c r="V2575" s="62"/>
    </row>
    <row r="2576" spans="22:22" x14ac:dyDescent="0.2">
      <c r="V2576" s="62"/>
    </row>
    <row r="2577" spans="22:22" x14ac:dyDescent="0.2">
      <c r="V2577" s="62"/>
    </row>
    <row r="2578" spans="22:22" x14ac:dyDescent="0.2">
      <c r="V2578" s="62"/>
    </row>
    <row r="2579" spans="22:22" x14ac:dyDescent="0.2">
      <c r="V2579" s="62"/>
    </row>
    <row r="2580" spans="22:22" x14ac:dyDescent="0.2">
      <c r="V2580" s="62"/>
    </row>
    <row r="2581" spans="22:22" x14ac:dyDescent="0.2">
      <c r="V2581" s="62"/>
    </row>
    <row r="2582" spans="22:22" x14ac:dyDescent="0.2">
      <c r="V2582" s="62"/>
    </row>
    <row r="2583" spans="22:22" x14ac:dyDescent="0.2">
      <c r="V2583" s="62"/>
    </row>
    <row r="2584" spans="22:22" x14ac:dyDescent="0.2">
      <c r="V2584" s="62"/>
    </row>
    <row r="2585" spans="22:22" x14ac:dyDescent="0.2">
      <c r="V2585" s="62"/>
    </row>
    <row r="2586" spans="22:22" x14ac:dyDescent="0.2">
      <c r="V2586" s="62"/>
    </row>
    <row r="2587" spans="22:22" x14ac:dyDescent="0.2">
      <c r="V2587" s="62"/>
    </row>
    <row r="2588" spans="22:22" x14ac:dyDescent="0.2">
      <c r="V2588" s="62"/>
    </row>
    <row r="2589" spans="22:22" x14ac:dyDescent="0.2">
      <c r="V2589" s="62"/>
    </row>
    <row r="2590" spans="22:22" x14ac:dyDescent="0.2">
      <c r="V2590" s="62"/>
    </row>
    <row r="2591" spans="22:22" x14ac:dyDescent="0.2">
      <c r="V2591" s="62"/>
    </row>
    <row r="2592" spans="22:22" x14ac:dyDescent="0.2">
      <c r="V2592" s="62"/>
    </row>
    <row r="2593" spans="22:22" x14ac:dyDescent="0.2">
      <c r="V2593" s="62"/>
    </row>
    <row r="2594" spans="22:22" x14ac:dyDescent="0.2">
      <c r="V2594" s="62"/>
    </row>
    <row r="2595" spans="22:22" x14ac:dyDescent="0.2">
      <c r="V2595" s="62"/>
    </row>
    <row r="2596" spans="22:22" x14ac:dyDescent="0.2">
      <c r="V2596" s="62"/>
    </row>
    <row r="2597" spans="22:22" x14ac:dyDescent="0.2">
      <c r="V2597" s="62"/>
    </row>
    <row r="2598" spans="22:22" x14ac:dyDescent="0.2">
      <c r="V2598" s="62"/>
    </row>
    <row r="2599" spans="22:22" x14ac:dyDescent="0.2">
      <c r="V2599" s="62"/>
    </row>
    <row r="2600" spans="22:22" x14ac:dyDescent="0.2">
      <c r="V2600" s="62"/>
    </row>
    <row r="2601" spans="22:22" x14ac:dyDescent="0.2">
      <c r="V2601" s="62"/>
    </row>
    <row r="2602" spans="22:22" x14ac:dyDescent="0.2">
      <c r="V2602" s="62"/>
    </row>
    <row r="2603" spans="22:22" x14ac:dyDescent="0.2">
      <c r="V2603" s="62"/>
    </row>
    <row r="2604" spans="22:22" x14ac:dyDescent="0.2">
      <c r="V2604" s="62"/>
    </row>
    <row r="2605" spans="22:22" x14ac:dyDescent="0.2">
      <c r="V2605" s="62"/>
    </row>
    <row r="2606" spans="22:22" x14ac:dyDescent="0.2">
      <c r="V2606" s="62"/>
    </row>
    <row r="2607" spans="22:22" x14ac:dyDescent="0.2">
      <c r="V2607" s="62"/>
    </row>
    <row r="2608" spans="22:22" x14ac:dyDescent="0.2">
      <c r="V2608" s="62"/>
    </row>
    <row r="2609" spans="22:22" x14ac:dyDescent="0.2">
      <c r="V2609" s="62"/>
    </row>
    <row r="2610" spans="22:22" x14ac:dyDescent="0.2">
      <c r="V2610" s="62"/>
    </row>
    <row r="2611" spans="22:22" x14ac:dyDescent="0.2">
      <c r="V2611" s="62"/>
    </row>
    <row r="2612" spans="22:22" x14ac:dyDescent="0.2">
      <c r="V2612" s="62"/>
    </row>
    <row r="2613" spans="22:22" x14ac:dyDescent="0.2">
      <c r="V2613" s="62"/>
    </row>
    <row r="2614" spans="22:22" x14ac:dyDescent="0.2">
      <c r="V2614" s="62"/>
    </row>
    <row r="2615" spans="22:22" x14ac:dyDescent="0.2">
      <c r="V2615" s="62"/>
    </row>
    <row r="2616" spans="22:22" x14ac:dyDescent="0.2">
      <c r="V2616" s="62"/>
    </row>
    <row r="2617" spans="22:22" x14ac:dyDescent="0.2">
      <c r="V2617" s="62"/>
    </row>
    <row r="2618" spans="22:22" x14ac:dyDescent="0.2">
      <c r="V2618" s="62"/>
    </row>
    <row r="2619" spans="22:22" x14ac:dyDescent="0.2">
      <c r="V2619" s="62"/>
    </row>
    <row r="2620" spans="22:22" x14ac:dyDescent="0.2">
      <c r="V2620" s="62"/>
    </row>
    <row r="2621" spans="22:22" x14ac:dyDescent="0.2">
      <c r="V2621" s="62"/>
    </row>
    <row r="2622" spans="22:22" x14ac:dyDescent="0.2">
      <c r="V2622" s="62"/>
    </row>
    <row r="2623" spans="22:22" x14ac:dyDescent="0.2">
      <c r="V2623" s="62"/>
    </row>
    <row r="2624" spans="22:22" x14ac:dyDescent="0.2">
      <c r="V2624" s="62"/>
    </row>
    <row r="2625" spans="22:22" x14ac:dyDescent="0.2">
      <c r="V2625" s="62"/>
    </row>
    <row r="2626" spans="22:22" x14ac:dyDescent="0.2">
      <c r="V2626" s="62"/>
    </row>
    <row r="2627" spans="22:22" x14ac:dyDescent="0.2">
      <c r="V2627" s="62"/>
    </row>
    <row r="2628" spans="22:22" x14ac:dyDescent="0.2">
      <c r="V2628" s="62"/>
    </row>
    <row r="2629" spans="22:22" x14ac:dyDescent="0.2">
      <c r="V2629" s="62"/>
    </row>
    <row r="2630" spans="22:22" x14ac:dyDescent="0.2">
      <c r="V2630" s="62"/>
    </row>
    <row r="2631" spans="22:22" x14ac:dyDescent="0.2">
      <c r="V2631" s="62"/>
    </row>
    <row r="2632" spans="22:22" x14ac:dyDescent="0.2">
      <c r="V2632" s="62"/>
    </row>
    <row r="2633" spans="22:22" x14ac:dyDescent="0.2">
      <c r="V2633" s="62"/>
    </row>
    <row r="2634" spans="22:22" x14ac:dyDescent="0.2">
      <c r="V2634" s="62"/>
    </row>
    <row r="2635" spans="22:22" x14ac:dyDescent="0.2">
      <c r="V2635" s="62"/>
    </row>
    <row r="2636" spans="22:22" x14ac:dyDescent="0.2">
      <c r="V2636" s="62"/>
    </row>
    <row r="2637" spans="22:22" x14ac:dyDescent="0.2">
      <c r="V2637" s="62"/>
    </row>
    <row r="2638" spans="22:22" x14ac:dyDescent="0.2">
      <c r="V2638" s="62"/>
    </row>
    <row r="2639" spans="22:22" x14ac:dyDescent="0.2">
      <c r="V2639" s="62"/>
    </row>
    <row r="2640" spans="22:22" x14ac:dyDescent="0.2">
      <c r="V2640" s="62"/>
    </row>
    <row r="2641" spans="22:22" x14ac:dyDescent="0.2">
      <c r="V2641" s="62"/>
    </row>
    <row r="2642" spans="22:22" x14ac:dyDescent="0.2">
      <c r="V2642" s="62"/>
    </row>
    <row r="2643" spans="22:22" x14ac:dyDescent="0.2">
      <c r="V2643" s="62"/>
    </row>
    <row r="2644" spans="22:22" x14ac:dyDescent="0.2">
      <c r="V2644" s="62"/>
    </row>
    <row r="2645" spans="22:22" x14ac:dyDescent="0.2">
      <c r="V2645" s="62"/>
    </row>
    <row r="2646" spans="22:22" x14ac:dyDescent="0.2">
      <c r="V2646" s="62"/>
    </row>
    <row r="2647" spans="22:22" x14ac:dyDescent="0.2">
      <c r="V2647" s="62"/>
    </row>
    <row r="2648" spans="22:22" x14ac:dyDescent="0.2">
      <c r="V2648" s="62"/>
    </row>
    <row r="2649" spans="22:22" x14ac:dyDescent="0.2">
      <c r="V2649" s="62"/>
    </row>
    <row r="2650" spans="22:22" x14ac:dyDescent="0.2">
      <c r="V2650" s="62"/>
    </row>
    <row r="2651" spans="22:22" x14ac:dyDescent="0.2">
      <c r="V2651" s="62"/>
    </row>
    <row r="2652" spans="22:22" x14ac:dyDescent="0.2">
      <c r="V2652" s="62"/>
    </row>
    <row r="2653" spans="22:22" x14ac:dyDescent="0.2">
      <c r="V2653" s="62"/>
    </row>
    <row r="2654" spans="22:22" x14ac:dyDescent="0.2">
      <c r="V2654" s="62"/>
    </row>
    <row r="2655" spans="22:22" x14ac:dyDescent="0.2">
      <c r="V2655" s="62"/>
    </row>
    <row r="2656" spans="22:22" x14ac:dyDescent="0.2">
      <c r="V2656" s="62"/>
    </row>
    <row r="2657" spans="22:22" x14ac:dyDescent="0.2">
      <c r="V2657" s="62"/>
    </row>
    <row r="2658" spans="22:22" x14ac:dyDescent="0.2">
      <c r="V2658" s="62"/>
    </row>
    <row r="2659" spans="22:22" x14ac:dyDescent="0.2">
      <c r="V2659" s="62"/>
    </row>
    <row r="2660" spans="22:22" x14ac:dyDescent="0.2">
      <c r="V2660" s="62"/>
    </row>
    <row r="2661" spans="22:22" x14ac:dyDescent="0.2">
      <c r="V2661" s="62"/>
    </row>
    <row r="2662" spans="22:22" x14ac:dyDescent="0.2">
      <c r="V2662" s="62"/>
    </row>
    <row r="2663" spans="22:22" x14ac:dyDescent="0.2">
      <c r="V2663" s="62"/>
    </row>
    <row r="2664" spans="22:22" x14ac:dyDescent="0.2">
      <c r="V2664" s="62"/>
    </row>
    <row r="2665" spans="22:22" x14ac:dyDescent="0.2">
      <c r="V2665" s="62"/>
    </row>
    <row r="2666" spans="22:22" x14ac:dyDescent="0.2">
      <c r="V2666" s="62"/>
    </row>
    <row r="2667" spans="22:22" x14ac:dyDescent="0.2">
      <c r="V2667" s="62"/>
    </row>
    <row r="2668" spans="22:22" x14ac:dyDescent="0.2">
      <c r="V2668" s="62"/>
    </row>
    <row r="2669" spans="22:22" x14ac:dyDescent="0.2">
      <c r="V2669" s="62"/>
    </row>
    <row r="2670" spans="22:22" x14ac:dyDescent="0.2">
      <c r="V2670" s="62"/>
    </row>
    <row r="2671" spans="22:22" x14ac:dyDescent="0.2">
      <c r="V2671" s="62"/>
    </row>
    <row r="2672" spans="22:22" x14ac:dyDescent="0.2">
      <c r="V2672" s="62"/>
    </row>
    <row r="2673" spans="22:22" x14ac:dyDescent="0.2">
      <c r="V2673" s="62"/>
    </row>
    <row r="2674" spans="22:22" x14ac:dyDescent="0.2">
      <c r="V2674" s="62"/>
    </row>
    <row r="2675" spans="22:22" x14ac:dyDescent="0.2">
      <c r="V2675" s="62"/>
    </row>
    <row r="2676" spans="22:22" x14ac:dyDescent="0.2">
      <c r="V2676" s="62"/>
    </row>
    <row r="2677" spans="22:22" x14ac:dyDescent="0.2">
      <c r="V2677" s="62"/>
    </row>
    <row r="2678" spans="22:22" x14ac:dyDescent="0.2">
      <c r="V2678" s="62"/>
    </row>
    <row r="2679" spans="22:22" x14ac:dyDescent="0.2">
      <c r="V2679" s="62"/>
    </row>
    <row r="2680" spans="22:22" x14ac:dyDescent="0.2">
      <c r="V2680" s="62"/>
    </row>
    <row r="2681" spans="22:22" x14ac:dyDescent="0.2">
      <c r="V2681" s="62"/>
    </row>
    <row r="2682" spans="22:22" x14ac:dyDescent="0.2">
      <c r="V2682" s="62"/>
    </row>
    <row r="2683" spans="22:22" x14ac:dyDescent="0.2">
      <c r="V2683" s="62"/>
    </row>
    <row r="2684" spans="22:22" x14ac:dyDescent="0.2">
      <c r="V2684" s="62"/>
    </row>
    <row r="2685" spans="22:22" x14ac:dyDescent="0.2">
      <c r="V2685" s="62"/>
    </row>
    <row r="2686" spans="22:22" x14ac:dyDescent="0.2">
      <c r="V2686" s="62"/>
    </row>
    <row r="2687" spans="22:22" x14ac:dyDescent="0.2">
      <c r="V2687" s="62"/>
    </row>
    <row r="2688" spans="22:22" x14ac:dyDescent="0.2">
      <c r="V2688" s="62"/>
    </row>
    <row r="2689" spans="22:22" x14ac:dyDescent="0.2">
      <c r="V2689" s="62"/>
    </row>
    <row r="2690" spans="22:22" x14ac:dyDescent="0.2">
      <c r="V2690" s="62"/>
    </row>
    <row r="2691" spans="22:22" x14ac:dyDescent="0.2">
      <c r="V2691" s="62"/>
    </row>
    <row r="2692" spans="22:22" x14ac:dyDescent="0.2">
      <c r="V2692" s="62"/>
    </row>
    <row r="2693" spans="22:22" x14ac:dyDescent="0.2">
      <c r="V2693" s="62"/>
    </row>
    <row r="2694" spans="22:22" x14ac:dyDescent="0.2">
      <c r="V2694" s="62"/>
    </row>
    <row r="2695" spans="22:22" x14ac:dyDescent="0.2">
      <c r="V2695" s="62"/>
    </row>
    <row r="2696" spans="22:22" x14ac:dyDescent="0.2">
      <c r="V2696" s="62"/>
    </row>
    <row r="2697" spans="22:22" x14ac:dyDescent="0.2">
      <c r="V2697" s="62"/>
    </row>
    <row r="2698" spans="22:22" x14ac:dyDescent="0.2">
      <c r="V2698" s="62"/>
    </row>
    <row r="2699" spans="22:22" x14ac:dyDescent="0.2">
      <c r="V2699" s="62"/>
    </row>
    <row r="2700" spans="22:22" x14ac:dyDescent="0.2">
      <c r="V2700" s="62"/>
    </row>
    <row r="2701" spans="22:22" x14ac:dyDescent="0.2">
      <c r="V2701" s="62"/>
    </row>
    <row r="2702" spans="22:22" x14ac:dyDescent="0.2">
      <c r="V2702" s="62"/>
    </row>
    <row r="2703" spans="22:22" x14ac:dyDescent="0.2">
      <c r="V2703" s="62"/>
    </row>
    <row r="2704" spans="22:22" x14ac:dyDescent="0.2">
      <c r="V2704" s="62"/>
    </row>
    <row r="2705" spans="22:22" x14ac:dyDescent="0.2">
      <c r="V2705" s="62"/>
    </row>
    <row r="2706" spans="22:22" x14ac:dyDescent="0.2">
      <c r="V2706" s="62"/>
    </row>
    <row r="2707" spans="22:22" x14ac:dyDescent="0.2">
      <c r="V2707" s="62"/>
    </row>
    <row r="2708" spans="22:22" x14ac:dyDescent="0.2">
      <c r="V2708" s="62"/>
    </row>
    <row r="2709" spans="22:22" x14ac:dyDescent="0.2">
      <c r="V2709" s="62"/>
    </row>
    <row r="2710" spans="22:22" x14ac:dyDescent="0.2">
      <c r="V2710" s="62"/>
    </row>
    <row r="2711" spans="22:22" x14ac:dyDescent="0.2">
      <c r="V2711" s="62"/>
    </row>
    <row r="2712" spans="22:22" x14ac:dyDescent="0.2">
      <c r="V2712" s="62"/>
    </row>
    <row r="2713" spans="22:22" x14ac:dyDescent="0.2">
      <c r="V2713" s="62"/>
    </row>
    <row r="2714" spans="22:22" x14ac:dyDescent="0.2">
      <c r="V2714" s="62"/>
    </row>
    <row r="2715" spans="22:22" x14ac:dyDescent="0.2">
      <c r="V2715" s="62"/>
    </row>
    <row r="2716" spans="22:22" x14ac:dyDescent="0.2">
      <c r="V2716" s="62"/>
    </row>
    <row r="2717" spans="22:22" x14ac:dyDescent="0.2">
      <c r="V2717" s="62"/>
    </row>
    <row r="2718" spans="22:22" x14ac:dyDescent="0.2">
      <c r="V2718" s="62"/>
    </row>
    <row r="2719" spans="22:22" x14ac:dyDescent="0.2">
      <c r="V2719" s="62"/>
    </row>
    <row r="2720" spans="22:22" x14ac:dyDescent="0.2">
      <c r="V2720" s="62"/>
    </row>
    <row r="2721" spans="22:22" x14ac:dyDescent="0.2">
      <c r="V2721" s="62"/>
    </row>
    <row r="2722" spans="22:22" x14ac:dyDescent="0.2">
      <c r="V2722" s="62"/>
    </row>
    <row r="2723" spans="22:22" x14ac:dyDescent="0.2">
      <c r="V2723" s="62"/>
    </row>
    <row r="2724" spans="22:22" x14ac:dyDescent="0.2">
      <c r="V2724" s="62"/>
    </row>
    <row r="2725" spans="22:22" x14ac:dyDescent="0.2">
      <c r="V2725" s="62"/>
    </row>
    <row r="2726" spans="22:22" x14ac:dyDescent="0.2">
      <c r="V2726" s="62"/>
    </row>
    <row r="2727" spans="22:22" x14ac:dyDescent="0.2">
      <c r="V2727" s="62"/>
    </row>
    <row r="2728" spans="22:22" x14ac:dyDescent="0.2">
      <c r="V2728" s="62"/>
    </row>
    <row r="2729" spans="22:22" x14ac:dyDescent="0.2">
      <c r="V2729" s="62"/>
    </row>
    <row r="2730" spans="22:22" x14ac:dyDescent="0.2">
      <c r="V2730" s="62"/>
    </row>
    <row r="2731" spans="22:22" x14ac:dyDescent="0.2">
      <c r="V2731" s="62"/>
    </row>
    <row r="2732" spans="22:22" x14ac:dyDescent="0.2">
      <c r="V2732" s="62"/>
    </row>
    <row r="2733" spans="22:22" x14ac:dyDescent="0.2">
      <c r="V2733" s="62"/>
    </row>
    <row r="2734" spans="22:22" x14ac:dyDescent="0.2">
      <c r="V2734" s="62"/>
    </row>
    <row r="2735" spans="22:22" x14ac:dyDescent="0.2">
      <c r="V2735" s="62"/>
    </row>
    <row r="2736" spans="22:22" x14ac:dyDescent="0.2">
      <c r="V2736" s="62"/>
    </row>
    <row r="2737" spans="22:22" x14ac:dyDescent="0.2">
      <c r="V2737" s="62"/>
    </row>
    <row r="2738" spans="22:22" x14ac:dyDescent="0.2">
      <c r="V2738" s="62"/>
    </row>
    <row r="2739" spans="22:22" x14ac:dyDescent="0.2">
      <c r="V2739" s="62"/>
    </row>
    <row r="2740" spans="22:22" x14ac:dyDescent="0.2">
      <c r="V2740" s="62"/>
    </row>
    <row r="2741" spans="22:22" x14ac:dyDescent="0.2">
      <c r="V2741" s="62"/>
    </row>
    <row r="2742" spans="22:22" x14ac:dyDescent="0.2">
      <c r="V2742" s="62"/>
    </row>
    <row r="2743" spans="22:22" x14ac:dyDescent="0.2">
      <c r="V2743" s="62"/>
    </row>
    <row r="2744" spans="22:22" x14ac:dyDescent="0.2">
      <c r="V2744" s="62"/>
    </row>
    <row r="2745" spans="22:22" x14ac:dyDescent="0.2">
      <c r="V2745" s="62"/>
    </row>
    <row r="2746" spans="22:22" x14ac:dyDescent="0.2">
      <c r="V2746" s="62"/>
    </row>
    <row r="2747" spans="22:22" x14ac:dyDescent="0.2">
      <c r="V2747" s="62"/>
    </row>
    <row r="2748" spans="22:22" x14ac:dyDescent="0.2">
      <c r="V2748" s="62"/>
    </row>
    <row r="2749" spans="22:22" x14ac:dyDescent="0.2">
      <c r="V2749" s="62"/>
    </row>
    <row r="2750" spans="22:22" x14ac:dyDescent="0.2">
      <c r="V2750" s="62"/>
    </row>
    <row r="2751" spans="22:22" x14ac:dyDescent="0.2">
      <c r="V2751" s="62"/>
    </row>
    <row r="2752" spans="22:22" x14ac:dyDescent="0.2">
      <c r="V2752" s="62"/>
    </row>
    <row r="2753" spans="22:22" x14ac:dyDescent="0.2">
      <c r="V2753" s="62"/>
    </row>
    <row r="2754" spans="22:22" x14ac:dyDescent="0.2">
      <c r="V2754" s="62"/>
    </row>
    <row r="2755" spans="22:22" x14ac:dyDescent="0.2">
      <c r="V2755" s="62"/>
    </row>
    <row r="2756" spans="22:22" x14ac:dyDescent="0.2">
      <c r="V2756" s="62"/>
    </row>
    <row r="2757" spans="22:22" x14ac:dyDescent="0.2">
      <c r="V2757" s="62"/>
    </row>
    <row r="2758" spans="22:22" x14ac:dyDescent="0.2">
      <c r="V2758" s="62"/>
    </row>
    <row r="2759" spans="22:22" x14ac:dyDescent="0.2">
      <c r="V2759" s="62"/>
    </row>
    <row r="2760" spans="22:22" x14ac:dyDescent="0.2">
      <c r="V2760" s="62"/>
    </row>
    <row r="2761" spans="22:22" x14ac:dyDescent="0.2">
      <c r="V2761" s="62"/>
    </row>
    <row r="2762" spans="22:22" x14ac:dyDescent="0.2">
      <c r="V2762" s="62"/>
    </row>
    <row r="2763" spans="22:22" x14ac:dyDescent="0.2">
      <c r="V2763" s="62"/>
    </row>
    <row r="2764" spans="22:22" x14ac:dyDescent="0.2">
      <c r="V2764" s="62"/>
    </row>
    <row r="2765" spans="22:22" x14ac:dyDescent="0.2">
      <c r="V2765" s="62"/>
    </row>
    <row r="2766" spans="22:22" x14ac:dyDescent="0.2">
      <c r="V2766" s="62"/>
    </row>
    <row r="2767" spans="22:22" x14ac:dyDescent="0.2">
      <c r="V2767" s="62"/>
    </row>
    <row r="2768" spans="22:22" x14ac:dyDescent="0.2">
      <c r="V2768" s="62"/>
    </row>
    <row r="2769" spans="22:22" x14ac:dyDescent="0.2">
      <c r="V2769" s="62"/>
    </row>
    <row r="2770" spans="22:22" x14ac:dyDescent="0.2">
      <c r="V2770" s="62"/>
    </row>
    <row r="2771" spans="22:22" x14ac:dyDescent="0.2">
      <c r="V2771" s="62"/>
    </row>
    <row r="2772" spans="22:22" x14ac:dyDescent="0.2">
      <c r="V2772" s="62"/>
    </row>
    <row r="2773" spans="22:22" x14ac:dyDescent="0.2">
      <c r="V2773" s="62"/>
    </row>
    <row r="2774" spans="22:22" x14ac:dyDescent="0.2">
      <c r="V2774" s="62"/>
    </row>
    <row r="2775" spans="22:22" x14ac:dyDescent="0.2">
      <c r="V2775" s="62"/>
    </row>
    <row r="2776" spans="22:22" x14ac:dyDescent="0.2">
      <c r="V2776" s="62"/>
    </row>
    <row r="2777" spans="22:22" x14ac:dyDescent="0.2">
      <c r="V2777" s="62"/>
    </row>
    <row r="2778" spans="22:22" x14ac:dyDescent="0.2">
      <c r="V2778" s="62"/>
    </row>
    <row r="2779" spans="22:22" x14ac:dyDescent="0.2">
      <c r="V2779" s="62"/>
    </row>
    <row r="2780" spans="22:22" x14ac:dyDescent="0.2">
      <c r="V2780" s="62"/>
    </row>
    <row r="2781" spans="22:22" x14ac:dyDescent="0.2">
      <c r="V2781" s="62"/>
    </row>
    <row r="2782" spans="22:22" x14ac:dyDescent="0.2">
      <c r="V2782" s="62"/>
    </row>
    <row r="2783" spans="22:22" x14ac:dyDescent="0.2">
      <c r="V2783" s="62"/>
    </row>
    <row r="2784" spans="22:22" x14ac:dyDescent="0.2">
      <c r="V2784" s="62"/>
    </row>
    <row r="2785" spans="22:22" x14ac:dyDescent="0.2">
      <c r="V2785" s="62"/>
    </row>
    <row r="2786" spans="22:22" x14ac:dyDescent="0.2">
      <c r="V2786" s="62"/>
    </row>
    <row r="2787" spans="22:22" x14ac:dyDescent="0.2">
      <c r="V2787" s="62"/>
    </row>
    <row r="2788" spans="22:22" x14ac:dyDescent="0.2">
      <c r="V2788" s="62"/>
    </row>
    <row r="2789" spans="22:22" x14ac:dyDescent="0.2">
      <c r="V2789" s="62"/>
    </row>
    <row r="2790" spans="22:22" x14ac:dyDescent="0.2">
      <c r="V2790" s="62"/>
    </row>
    <row r="2791" spans="22:22" x14ac:dyDescent="0.2">
      <c r="V2791" s="62"/>
    </row>
    <row r="2792" spans="22:22" x14ac:dyDescent="0.2">
      <c r="V2792" s="62"/>
    </row>
    <row r="2793" spans="22:22" x14ac:dyDescent="0.2">
      <c r="V2793" s="62"/>
    </row>
    <row r="2794" spans="22:22" x14ac:dyDescent="0.2">
      <c r="V2794" s="62"/>
    </row>
    <row r="2795" spans="22:22" x14ac:dyDescent="0.2">
      <c r="V2795" s="62"/>
    </row>
    <row r="2796" spans="22:22" x14ac:dyDescent="0.2">
      <c r="V2796" s="62"/>
    </row>
    <row r="2797" spans="22:22" x14ac:dyDescent="0.2">
      <c r="V2797" s="62"/>
    </row>
    <row r="2798" spans="22:22" x14ac:dyDescent="0.2">
      <c r="V2798" s="62"/>
    </row>
    <row r="2799" spans="22:22" x14ac:dyDescent="0.2">
      <c r="V2799" s="62"/>
    </row>
    <row r="2800" spans="22:22" x14ac:dyDescent="0.2">
      <c r="V2800" s="62"/>
    </row>
    <row r="2801" spans="22:22" x14ac:dyDescent="0.2">
      <c r="V2801" s="62"/>
    </row>
    <row r="2802" spans="22:22" x14ac:dyDescent="0.2">
      <c r="V2802" s="62"/>
    </row>
    <row r="2803" spans="22:22" x14ac:dyDescent="0.2">
      <c r="V2803" s="62"/>
    </row>
    <row r="2804" spans="22:22" x14ac:dyDescent="0.2">
      <c r="V2804" s="62"/>
    </row>
    <row r="2805" spans="22:22" x14ac:dyDescent="0.2">
      <c r="V2805" s="62"/>
    </row>
    <row r="2806" spans="22:22" x14ac:dyDescent="0.2">
      <c r="V2806" s="62"/>
    </row>
    <row r="2807" spans="22:22" x14ac:dyDescent="0.2">
      <c r="V2807" s="62"/>
    </row>
    <row r="2808" spans="22:22" x14ac:dyDescent="0.2">
      <c r="V2808" s="62"/>
    </row>
    <row r="2809" spans="22:22" x14ac:dyDescent="0.2">
      <c r="V2809" s="62"/>
    </row>
    <row r="2810" spans="22:22" x14ac:dyDescent="0.2">
      <c r="V2810" s="62"/>
    </row>
    <row r="2811" spans="22:22" x14ac:dyDescent="0.2">
      <c r="V2811" s="62"/>
    </row>
    <row r="2812" spans="22:22" x14ac:dyDescent="0.2">
      <c r="V2812" s="62"/>
    </row>
    <row r="2813" spans="22:22" x14ac:dyDescent="0.2">
      <c r="V2813" s="62"/>
    </row>
    <row r="2814" spans="22:22" x14ac:dyDescent="0.2">
      <c r="V2814" s="62"/>
    </row>
    <row r="2815" spans="22:22" x14ac:dyDescent="0.2">
      <c r="V2815" s="62"/>
    </row>
    <row r="2816" spans="22:22" x14ac:dyDescent="0.2">
      <c r="V2816" s="62"/>
    </row>
    <row r="2817" spans="22:22" x14ac:dyDescent="0.2">
      <c r="V2817" s="62"/>
    </row>
    <row r="2818" spans="22:22" x14ac:dyDescent="0.2">
      <c r="V2818" s="62"/>
    </row>
    <row r="2819" spans="22:22" x14ac:dyDescent="0.2">
      <c r="V2819" s="62"/>
    </row>
    <row r="2820" spans="22:22" x14ac:dyDescent="0.2">
      <c r="V2820" s="62"/>
    </row>
    <row r="2821" spans="22:22" x14ac:dyDescent="0.2">
      <c r="V2821" s="62"/>
    </row>
    <row r="2822" spans="22:22" x14ac:dyDescent="0.2">
      <c r="V2822" s="62"/>
    </row>
    <row r="2823" spans="22:22" x14ac:dyDescent="0.2">
      <c r="V2823" s="62"/>
    </row>
    <row r="2824" spans="22:22" x14ac:dyDescent="0.2">
      <c r="V2824" s="62"/>
    </row>
    <row r="2825" spans="22:22" x14ac:dyDescent="0.2">
      <c r="V2825" s="62"/>
    </row>
    <row r="2826" spans="22:22" x14ac:dyDescent="0.2">
      <c r="V2826" s="62"/>
    </row>
    <row r="2827" spans="22:22" x14ac:dyDescent="0.2">
      <c r="V2827" s="62"/>
    </row>
    <row r="2828" spans="22:22" x14ac:dyDescent="0.2">
      <c r="V2828" s="62"/>
    </row>
    <row r="2829" spans="22:22" x14ac:dyDescent="0.2">
      <c r="V2829" s="62"/>
    </row>
    <row r="2830" spans="22:22" x14ac:dyDescent="0.2">
      <c r="V2830" s="62"/>
    </row>
    <row r="2831" spans="22:22" x14ac:dyDescent="0.2">
      <c r="V2831" s="62"/>
    </row>
    <row r="2832" spans="22:22" x14ac:dyDescent="0.2">
      <c r="V2832" s="62"/>
    </row>
    <row r="2833" spans="22:22" x14ac:dyDescent="0.2">
      <c r="V2833" s="62"/>
    </row>
    <row r="2834" spans="22:22" x14ac:dyDescent="0.2">
      <c r="V2834" s="62"/>
    </row>
    <row r="2835" spans="22:22" x14ac:dyDescent="0.2">
      <c r="V2835" s="62"/>
    </row>
    <row r="2836" spans="22:22" x14ac:dyDescent="0.2">
      <c r="V2836" s="62"/>
    </row>
    <row r="2837" spans="22:22" x14ac:dyDescent="0.2">
      <c r="V2837" s="62"/>
    </row>
    <row r="2838" spans="22:22" x14ac:dyDescent="0.2">
      <c r="V2838" s="62"/>
    </row>
    <row r="2839" spans="22:22" x14ac:dyDescent="0.2">
      <c r="V2839" s="62"/>
    </row>
    <row r="2840" spans="22:22" x14ac:dyDescent="0.2">
      <c r="V2840" s="62"/>
    </row>
    <row r="2841" spans="22:22" x14ac:dyDescent="0.2">
      <c r="V2841" s="62"/>
    </row>
    <row r="2842" spans="22:22" x14ac:dyDescent="0.2">
      <c r="V2842" s="62"/>
    </row>
    <row r="2843" spans="22:22" x14ac:dyDescent="0.2">
      <c r="V2843" s="62"/>
    </row>
    <row r="2844" spans="22:22" x14ac:dyDescent="0.2">
      <c r="V2844" s="62"/>
    </row>
    <row r="2845" spans="22:22" x14ac:dyDescent="0.2">
      <c r="V2845" s="62"/>
    </row>
    <row r="2846" spans="22:22" x14ac:dyDescent="0.2">
      <c r="V2846" s="62"/>
    </row>
    <row r="2847" spans="22:22" x14ac:dyDescent="0.2">
      <c r="V2847" s="62"/>
    </row>
    <row r="2848" spans="22:22" x14ac:dyDescent="0.2">
      <c r="V2848" s="62"/>
    </row>
    <row r="2849" spans="22:22" x14ac:dyDescent="0.2">
      <c r="V2849" s="62"/>
    </row>
    <row r="2850" spans="22:22" x14ac:dyDescent="0.2">
      <c r="V2850" s="62"/>
    </row>
    <row r="2851" spans="22:22" x14ac:dyDescent="0.2">
      <c r="V2851" s="62"/>
    </row>
    <row r="2852" spans="22:22" x14ac:dyDescent="0.2">
      <c r="V2852" s="62"/>
    </row>
    <row r="2853" spans="22:22" x14ac:dyDescent="0.2">
      <c r="V2853" s="62"/>
    </row>
    <row r="2854" spans="22:22" x14ac:dyDescent="0.2">
      <c r="V2854" s="62"/>
    </row>
    <row r="2855" spans="22:22" x14ac:dyDescent="0.2">
      <c r="V2855" s="62"/>
    </row>
    <row r="2856" spans="22:22" x14ac:dyDescent="0.2">
      <c r="V2856" s="62"/>
    </row>
    <row r="2857" spans="22:22" x14ac:dyDescent="0.2">
      <c r="V2857" s="62"/>
    </row>
    <row r="2858" spans="22:22" x14ac:dyDescent="0.2">
      <c r="V2858" s="62"/>
    </row>
    <row r="2859" spans="22:22" x14ac:dyDescent="0.2">
      <c r="V2859" s="62"/>
    </row>
    <row r="2860" spans="22:22" x14ac:dyDescent="0.2">
      <c r="V2860" s="62"/>
    </row>
    <row r="2861" spans="22:22" x14ac:dyDescent="0.2">
      <c r="V2861" s="62"/>
    </row>
    <row r="2862" spans="22:22" x14ac:dyDescent="0.2">
      <c r="V2862" s="62"/>
    </row>
    <row r="2863" spans="22:22" x14ac:dyDescent="0.2">
      <c r="V2863" s="62"/>
    </row>
    <row r="2864" spans="22:22" x14ac:dyDescent="0.2">
      <c r="V2864" s="62"/>
    </row>
    <row r="2865" spans="22:22" x14ac:dyDescent="0.2">
      <c r="V2865" s="62"/>
    </row>
    <row r="2866" spans="22:22" x14ac:dyDescent="0.2">
      <c r="V2866" s="62"/>
    </row>
    <row r="2867" spans="22:22" x14ac:dyDescent="0.2">
      <c r="V2867" s="62"/>
    </row>
    <row r="2868" spans="22:22" x14ac:dyDescent="0.2">
      <c r="V2868" s="62"/>
    </row>
    <row r="2869" spans="22:22" x14ac:dyDescent="0.2">
      <c r="V2869" s="62"/>
    </row>
    <row r="2870" spans="22:22" x14ac:dyDescent="0.2">
      <c r="V2870" s="62"/>
    </row>
    <row r="2871" spans="22:22" x14ac:dyDescent="0.2">
      <c r="V2871" s="62"/>
    </row>
    <row r="2872" spans="22:22" x14ac:dyDescent="0.2">
      <c r="V2872" s="62"/>
    </row>
    <row r="2873" spans="22:22" x14ac:dyDescent="0.2">
      <c r="V2873" s="62"/>
    </row>
    <row r="2874" spans="22:22" x14ac:dyDescent="0.2">
      <c r="V2874" s="62"/>
    </row>
    <row r="2875" spans="22:22" x14ac:dyDescent="0.2">
      <c r="V2875" s="62"/>
    </row>
    <row r="2876" spans="22:22" x14ac:dyDescent="0.2">
      <c r="V2876" s="62"/>
    </row>
    <row r="2877" spans="22:22" x14ac:dyDescent="0.2">
      <c r="V2877" s="62"/>
    </row>
    <row r="2878" spans="22:22" x14ac:dyDescent="0.2">
      <c r="V2878" s="62"/>
    </row>
    <row r="2879" spans="22:22" x14ac:dyDescent="0.2">
      <c r="V2879" s="62"/>
    </row>
    <row r="2880" spans="22:22" x14ac:dyDescent="0.2">
      <c r="V2880" s="62"/>
    </row>
    <row r="2881" spans="22:22" x14ac:dyDescent="0.2">
      <c r="V2881" s="62"/>
    </row>
    <row r="2882" spans="22:22" x14ac:dyDescent="0.2">
      <c r="V2882" s="62"/>
    </row>
    <row r="2883" spans="22:22" x14ac:dyDescent="0.2">
      <c r="V2883" s="62"/>
    </row>
    <row r="2884" spans="22:22" x14ac:dyDescent="0.2">
      <c r="V2884" s="62"/>
    </row>
    <row r="2885" spans="22:22" x14ac:dyDescent="0.2">
      <c r="V2885" s="62"/>
    </row>
    <row r="2886" spans="22:22" x14ac:dyDescent="0.2">
      <c r="V2886" s="62"/>
    </row>
    <row r="2887" spans="22:22" x14ac:dyDescent="0.2">
      <c r="V2887" s="62"/>
    </row>
    <row r="2888" spans="22:22" x14ac:dyDescent="0.2">
      <c r="V2888" s="62"/>
    </row>
    <row r="2889" spans="22:22" x14ac:dyDescent="0.2">
      <c r="V2889" s="62"/>
    </row>
    <row r="2890" spans="22:22" x14ac:dyDescent="0.2">
      <c r="V2890" s="62"/>
    </row>
    <row r="2891" spans="22:22" x14ac:dyDescent="0.2">
      <c r="V2891" s="62"/>
    </row>
    <row r="2892" spans="22:22" x14ac:dyDescent="0.2">
      <c r="V2892" s="62"/>
    </row>
    <row r="2893" spans="22:22" x14ac:dyDescent="0.2">
      <c r="V2893" s="62"/>
    </row>
    <row r="2894" spans="22:22" x14ac:dyDescent="0.2">
      <c r="V2894" s="62"/>
    </row>
    <row r="2895" spans="22:22" x14ac:dyDescent="0.2">
      <c r="V2895" s="62"/>
    </row>
    <row r="2896" spans="22:22" x14ac:dyDescent="0.2">
      <c r="V2896" s="62"/>
    </row>
    <row r="2897" spans="22:22" x14ac:dyDescent="0.2">
      <c r="V2897" s="62"/>
    </row>
    <row r="2898" spans="22:22" x14ac:dyDescent="0.2">
      <c r="V2898" s="62"/>
    </row>
    <row r="2899" spans="22:22" x14ac:dyDescent="0.2">
      <c r="V2899" s="62"/>
    </row>
    <row r="2900" spans="22:22" x14ac:dyDescent="0.2">
      <c r="V2900" s="62"/>
    </row>
    <row r="2901" spans="22:22" x14ac:dyDescent="0.2">
      <c r="V2901" s="62"/>
    </row>
    <row r="2902" spans="22:22" x14ac:dyDescent="0.2">
      <c r="V2902" s="62"/>
    </row>
    <row r="2903" spans="22:22" x14ac:dyDescent="0.2">
      <c r="V2903" s="62"/>
    </row>
    <row r="2904" spans="22:22" x14ac:dyDescent="0.2">
      <c r="V2904" s="62"/>
    </row>
    <row r="2905" spans="22:22" x14ac:dyDescent="0.2">
      <c r="V2905" s="62"/>
    </row>
    <row r="2906" spans="22:22" x14ac:dyDescent="0.2">
      <c r="V2906" s="62"/>
    </row>
    <row r="2907" spans="22:22" x14ac:dyDescent="0.2">
      <c r="V2907" s="62"/>
    </row>
    <row r="2908" spans="22:22" x14ac:dyDescent="0.2">
      <c r="V2908" s="62"/>
    </row>
    <row r="2909" spans="22:22" x14ac:dyDescent="0.2">
      <c r="V2909" s="62"/>
    </row>
    <row r="2910" spans="22:22" x14ac:dyDescent="0.2">
      <c r="V2910" s="62"/>
    </row>
    <row r="2911" spans="22:22" x14ac:dyDescent="0.2">
      <c r="V2911" s="62"/>
    </row>
    <row r="2912" spans="22:22" x14ac:dyDescent="0.2">
      <c r="V2912" s="62"/>
    </row>
    <row r="2913" spans="22:22" x14ac:dyDescent="0.2">
      <c r="V2913" s="62"/>
    </row>
    <row r="2914" spans="22:22" x14ac:dyDescent="0.2">
      <c r="V2914" s="62"/>
    </row>
    <row r="2915" spans="22:22" x14ac:dyDescent="0.2">
      <c r="V2915" s="62"/>
    </row>
    <row r="2916" spans="22:22" x14ac:dyDescent="0.2">
      <c r="V2916" s="62"/>
    </row>
    <row r="2917" spans="22:22" x14ac:dyDescent="0.2">
      <c r="V2917" s="62"/>
    </row>
    <row r="2918" spans="22:22" x14ac:dyDescent="0.2">
      <c r="V2918" s="62"/>
    </row>
    <row r="2919" spans="22:22" x14ac:dyDescent="0.2">
      <c r="V2919" s="62"/>
    </row>
    <row r="2920" spans="22:22" x14ac:dyDescent="0.2">
      <c r="V2920" s="62"/>
    </row>
    <row r="2921" spans="22:22" x14ac:dyDescent="0.2">
      <c r="V2921" s="62"/>
    </row>
    <row r="2922" spans="22:22" x14ac:dyDescent="0.2">
      <c r="V2922" s="62"/>
    </row>
    <row r="2923" spans="22:22" x14ac:dyDescent="0.2">
      <c r="V2923" s="62"/>
    </row>
    <row r="2924" spans="22:22" x14ac:dyDescent="0.2">
      <c r="V2924" s="62"/>
    </row>
    <row r="2925" spans="22:22" x14ac:dyDescent="0.2">
      <c r="V2925" s="62"/>
    </row>
    <row r="2926" spans="22:22" x14ac:dyDescent="0.2">
      <c r="V2926" s="62"/>
    </row>
    <row r="2927" spans="22:22" x14ac:dyDescent="0.2">
      <c r="V2927" s="62"/>
    </row>
    <row r="2928" spans="22:22" x14ac:dyDescent="0.2">
      <c r="V2928" s="62"/>
    </row>
    <row r="2929" spans="22:22" x14ac:dyDescent="0.2">
      <c r="V2929" s="62"/>
    </row>
    <row r="2930" spans="22:22" x14ac:dyDescent="0.2">
      <c r="V2930" s="62"/>
    </row>
    <row r="2931" spans="22:22" x14ac:dyDescent="0.2">
      <c r="V2931" s="62"/>
    </row>
    <row r="2932" spans="22:22" x14ac:dyDescent="0.2">
      <c r="V2932" s="62"/>
    </row>
    <row r="2933" spans="22:22" x14ac:dyDescent="0.2">
      <c r="V2933" s="62"/>
    </row>
    <row r="2934" spans="22:22" x14ac:dyDescent="0.2">
      <c r="V2934" s="62"/>
    </row>
    <row r="2935" spans="22:22" x14ac:dyDescent="0.2">
      <c r="V2935" s="62"/>
    </row>
    <row r="2936" spans="22:22" x14ac:dyDescent="0.2">
      <c r="V2936" s="62"/>
    </row>
    <row r="2937" spans="22:22" x14ac:dyDescent="0.2">
      <c r="V2937" s="62"/>
    </row>
    <row r="2938" spans="22:22" x14ac:dyDescent="0.2">
      <c r="V2938" s="62"/>
    </row>
    <row r="2939" spans="22:22" x14ac:dyDescent="0.2">
      <c r="V2939" s="62"/>
    </row>
    <row r="2940" spans="22:22" x14ac:dyDescent="0.2">
      <c r="V2940" s="62"/>
    </row>
    <row r="2941" spans="22:22" x14ac:dyDescent="0.2">
      <c r="V2941" s="62"/>
    </row>
    <row r="2942" spans="22:22" x14ac:dyDescent="0.2">
      <c r="V2942" s="62"/>
    </row>
    <row r="2943" spans="22:22" x14ac:dyDescent="0.2">
      <c r="V2943" s="62"/>
    </row>
    <row r="2944" spans="22:22" x14ac:dyDescent="0.2">
      <c r="V2944" s="62"/>
    </row>
    <row r="2945" spans="22:22" x14ac:dyDescent="0.2">
      <c r="V2945" s="62"/>
    </row>
    <row r="2946" spans="22:22" x14ac:dyDescent="0.2">
      <c r="V2946" s="62"/>
    </row>
    <row r="2947" spans="22:22" x14ac:dyDescent="0.2">
      <c r="V2947" s="62"/>
    </row>
    <row r="2948" spans="22:22" x14ac:dyDescent="0.2">
      <c r="V2948" s="62"/>
    </row>
    <row r="2949" spans="22:22" x14ac:dyDescent="0.2">
      <c r="V2949" s="62"/>
    </row>
    <row r="2950" spans="22:22" x14ac:dyDescent="0.2">
      <c r="V2950" s="62"/>
    </row>
    <row r="2951" spans="22:22" x14ac:dyDescent="0.2">
      <c r="V2951" s="62"/>
    </row>
    <row r="2952" spans="22:22" x14ac:dyDescent="0.2">
      <c r="V2952" s="62"/>
    </row>
    <row r="2953" spans="22:22" x14ac:dyDescent="0.2">
      <c r="V2953" s="62"/>
    </row>
    <row r="2954" spans="22:22" x14ac:dyDescent="0.2">
      <c r="V2954" s="62"/>
    </row>
    <row r="2955" spans="22:22" x14ac:dyDescent="0.2">
      <c r="V2955" s="62"/>
    </row>
    <row r="2956" spans="22:22" x14ac:dyDescent="0.2">
      <c r="V2956" s="62"/>
    </row>
    <row r="2957" spans="22:22" x14ac:dyDescent="0.2">
      <c r="V2957" s="62"/>
    </row>
    <row r="2958" spans="22:22" x14ac:dyDescent="0.2">
      <c r="V2958" s="62"/>
    </row>
    <row r="2959" spans="22:22" x14ac:dyDescent="0.2">
      <c r="V2959" s="62"/>
    </row>
    <row r="2960" spans="22:22" x14ac:dyDescent="0.2">
      <c r="V2960" s="62"/>
    </row>
    <row r="2961" spans="22:22" x14ac:dyDescent="0.2">
      <c r="V2961" s="62"/>
    </row>
    <row r="2962" spans="22:22" x14ac:dyDescent="0.2">
      <c r="V2962" s="62"/>
    </row>
    <row r="2963" spans="22:22" x14ac:dyDescent="0.2">
      <c r="V2963" s="62"/>
    </row>
    <row r="2964" spans="22:22" x14ac:dyDescent="0.2">
      <c r="V2964" s="62"/>
    </row>
    <row r="2965" spans="22:22" x14ac:dyDescent="0.2">
      <c r="V2965" s="62"/>
    </row>
    <row r="2966" spans="22:22" x14ac:dyDescent="0.2">
      <c r="V2966" s="62"/>
    </row>
    <row r="2967" spans="22:22" x14ac:dyDescent="0.2">
      <c r="V2967" s="62"/>
    </row>
    <row r="2968" spans="22:22" x14ac:dyDescent="0.2">
      <c r="V2968" s="62"/>
    </row>
    <row r="2969" spans="22:22" x14ac:dyDescent="0.2">
      <c r="V2969" s="62"/>
    </row>
    <row r="2970" spans="22:22" x14ac:dyDescent="0.2">
      <c r="V2970" s="62"/>
    </row>
    <row r="2971" spans="22:22" x14ac:dyDescent="0.2">
      <c r="V2971" s="62"/>
    </row>
    <row r="2972" spans="22:22" x14ac:dyDescent="0.2">
      <c r="V2972" s="62"/>
    </row>
    <row r="2973" spans="22:22" x14ac:dyDescent="0.2">
      <c r="V2973" s="62"/>
    </row>
    <row r="2974" spans="22:22" x14ac:dyDescent="0.2">
      <c r="V2974" s="62"/>
    </row>
    <row r="2975" spans="22:22" x14ac:dyDescent="0.2">
      <c r="V2975" s="62"/>
    </row>
    <row r="2976" spans="22:22" x14ac:dyDescent="0.2">
      <c r="V2976" s="62"/>
    </row>
    <row r="2977" spans="22:22" x14ac:dyDescent="0.2">
      <c r="V2977" s="62"/>
    </row>
    <row r="2978" spans="22:22" x14ac:dyDescent="0.2">
      <c r="V2978" s="62"/>
    </row>
    <row r="2979" spans="22:22" x14ac:dyDescent="0.2">
      <c r="V2979" s="62"/>
    </row>
    <row r="2980" spans="22:22" x14ac:dyDescent="0.2">
      <c r="V2980" s="62"/>
    </row>
    <row r="2981" spans="22:22" x14ac:dyDescent="0.2">
      <c r="V2981" s="62"/>
    </row>
    <row r="2982" spans="22:22" x14ac:dyDescent="0.2">
      <c r="V2982" s="62"/>
    </row>
    <row r="2983" spans="22:22" x14ac:dyDescent="0.2">
      <c r="V2983" s="62"/>
    </row>
    <row r="2984" spans="22:22" x14ac:dyDescent="0.2">
      <c r="V2984" s="62"/>
    </row>
    <row r="2985" spans="22:22" x14ac:dyDescent="0.2">
      <c r="V2985" s="62"/>
    </row>
    <row r="2986" spans="22:22" x14ac:dyDescent="0.2">
      <c r="V2986" s="62"/>
    </row>
    <row r="2987" spans="22:22" x14ac:dyDescent="0.2">
      <c r="V2987" s="62"/>
    </row>
    <row r="2988" spans="22:22" x14ac:dyDescent="0.2">
      <c r="V2988" s="62"/>
    </row>
    <row r="2989" spans="22:22" x14ac:dyDescent="0.2">
      <c r="V2989" s="62"/>
    </row>
    <row r="2990" spans="22:22" x14ac:dyDescent="0.2">
      <c r="V2990" s="62"/>
    </row>
    <row r="2991" spans="22:22" x14ac:dyDescent="0.2">
      <c r="V2991" s="62"/>
    </row>
    <row r="2992" spans="22:22" x14ac:dyDescent="0.2">
      <c r="V2992" s="62"/>
    </row>
    <row r="2993" spans="22:22" x14ac:dyDescent="0.2">
      <c r="V2993" s="62"/>
    </row>
    <row r="2994" spans="22:22" x14ac:dyDescent="0.2">
      <c r="V2994" s="62"/>
    </row>
    <row r="2995" spans="22:22" x14ac:dyDescent="0.2">
      <c r="V2995" s="62"/>
    </row>
    <row r="2996" spans="22:22" x14ac:dyDescent="0.2">
      <c r="V2996" s="62"/>
    </row>
    <row r="2997" spans="22:22" x14ac:dyDescent="0.2">
      <c r="V2997" s="62"/>
    </row>
    <row r="2998" spans="22:22" x14ac:dyDescent="0.2">
      <c r="V2998" s="62"/>
    </row>
    <row r="2999" spans="22:22" x14ac:dyDescent="0.2">
      <c r="V2999" s="62"/>
    </row>
    <row r="3000" spans="22:22" x14ac:dyDescent="0.2">
      <c r="V3000" s="62"/>
    </row>
    <row r="3001" spans="22:22" x14ac:dyDescent="0.2">
      <c r="V3001" s="62"/>
    </row>
    <row r="3002" spans="22:22" x14ac:dyDescent="0.2">
      <c r="V3002" s="62"/>
    </row>
    <row r="3003" spans="22:22" x14ac:dyDescent="0.2">
      <c r="V3003" s="62"/>
    </row>
    <row r="3004" spans="22:22" x14ac:dyDescent="0.2">
      <c r="V3004" s="62"/>
    </row>
    <row r="3005" spans="22:22" x14ac:dyDescent="0.2">
      <c r="V3005" s="62"/>
    </row>
    <row r="3006" spans="22:22" x14ac:dyDescent="0.2">
      <c r="V3006" s="62"/>
    </row>
    <row r="3007" spans="22:22" x14ac:dyDescent="0.2">
      <c r="V3007" s="62"/>
    </row>
    <row r="3008" spans="22:22" x14ac:dyDescent="0.2">
      <c r="V3008" s="62"/>
    </row>
    <row r="3009" spans="22:22" x14ac:dyDescent="0.2">
      <c r="V3009" s="62"/>
    </row>
    <row r="3010" spans="22:22" x14ac:dyDescent="0.2">
      <c r="V3010" s="62"/>
    </row>
    <row r="3011" spans="22:22" x14ac:dyDescent="0.2">
      <c r="V3011" s="62"/>
    </row>
    <row r="3012" spans="22:22" x14ac:dyDescent="0.2">
      <c r="V3012" s="62"/>
    </row>
    <row r="3013" spans="22:22" x14ac:dyDescent="0.2">
      <c r="V3013" s="62"/>
    </row>
    <row r="3014" spans="22:22" x14ac:dyDescent="0.2">
      <c r="V3014" s="62"/>
    </row>
    <row r="3015" spans="22:22" x14ac:dyDescent="0.2">
      <c r="V3015" s="62"/>
    </row>
    <row r="3016" spans="22:22" x14ac:dyDescent="0.2">
      <c r="V3016" s="62"/>
    </row>
    <row r="3017" spans="22:22" x14ac:dyDescent="0.2">
      <c r="V3017" s="62"/>
    </row>
    <row r="3018" spans="22:22" x14ac:dyDescent="0.2">
      <c r="V3018" s="62"/>
    </row>
    <row r="3019" spans="22:22" x14ac:dyDescent="0.2">
      <c r="V3019" s="62"/>
    </row>
    <row r="3020" spans="22:22" x14ac:dyDescent="0.2">
      <c r="V3020" s="62"/>
    </row>
    <row r="3021" spans="22:22" x14ac:dyDescent="0.2">
      <c r="V3021" s="62"/>
    </row>
    <row r="3022" spans="22:22" x14ac:dyDescent="0.2">
      <c r="V3022" s="62"/>
    </row>
    <row r="3023" spans="22:22" x14ac:dyDescent="0.2">
      <c r="V3023" s="62"/>
    </row>
    <row r="3024" spans="22:22" x14ac:dyDescent="0.2">
      <c r="V3024" s="62"/>
    </row>
    <row r="3025" spans="22:22" x14ac:dyDescent="0.2">
      <c r="V3025" s="62"/>
    </row>
    <row r="3026" spans="22:22" x14ac:dyDescent="0.2">
      <c r="V3026" s="62"/>
    </row>
    <row r="3027" spans="22:22" x14ac:dyDescent="0.2">
      <c r="V3027" s="62"/>
    </row>
    <row r="3028" spans="22:22" x14ac:dyDescent="0.2">
      <c r="V3028" s="62"/>
    </row>
    <row r="3029" spans="22:22" x14ac:dyDescent="0.2">
      <c r="V3029" s="62"/>
    </row>
    <row r="3030" spans="22:22" x14ac:dyDescent="0.2">
      <c r="V3030" s="62"/>
    </row>
    <row r="3031" spans="22:22" x14ac:dyDescent="0.2">
      <c r="V3031" s="62"/>
    </row>
    <row r="3032" spans="22:22" x14ac:dyDescent="0.2">
      <c r="V3032" s="62"/>
    </row>
    <row r="3033" spans="22:22" x14ac:dyDescent="0.2">
      <c r="V3033" s="62"/>
    </row>
    <row r="3034" spans="22:22" x14ac:dyDescent="0.2">
      <c r="V3034" s="62"/>
    </row>
    <row r="3035" spans="22:22" x14ac:dyDescent="0.2">
      <c r="V3035" s="62"/>
    </row>
    <row r="3036" spans="22:22" x14ac:dyDescent="0.2">
      <c r="V3036" s="62"/>
    </row>
    <row r="3037" spans="22:22" x14ac:dyDescent="0.2">
      <c r="V3037" s="62"/>
    </row>
    <row r="3038" spans="22:22" x14ac:dyDescent="0.2">
      <c r="V3038" s="62"/>
    </row>
    <row r="3039" spans="22:22" x14ac:dyDescent="0.2">
      <c r="V3039" s="62"/>
    </row>
    <row r="3040" spans="22:22" x14ac:dyDescent="0.2">
      <c r="V3040" s="62"/>
    </row>
    <row r="3041" spans="22:22" x14ac:dyDescent="0.2">
      <c r="V3041" s="62"/>
    </row>
    <row r="3042" spans="22:22" x14ac:dyDescent="0.2">
      <c r="V3042" s="62"/>
    </row>
    <row r="3043" spans="22:22" x14ac:dyDescent="0.2">
      <c r="V3043" s="62"/>
    </row>
    <row r="3044" spans="22:22" x14ac:dyDescent="0.2">
      <c r="V3044" s="62"/>
    </row>
    <row r="3045" spans="22:22" x14ac:dyDescent="0.2">
      <c r="V3045" s="62"/>
    </row>
    <row r="3046" spans="22:22" x14ac:dyDescent="0.2">
      <c r="V3046" s="62"/>
    </row>
    <row r="3047" spans="22:22" x14ac:dyDescent="0.2">
      <c r="V3047" s="62"/>
    </row>
    <row r="3048" spans="22:22" x14ac:dyDescent="0.2">
      <c r="V3048" s="62"/>
    </row>
    <row r="3049" spans="22:22" x14ac:dyDescent="0.2">
      <c r="V3049" s="62"/>
    </row>
    <row r="3050" spans="22:22" x14ac:dyDescent="0.2">
      <c r="V3050" s="62"/>
    </row>
    <row r="3051" spans="22:22" x14ac:dyDescent="0.2">
      <c r="V3051" s="62"/>
    </row>
    <row r="3052" spans="22:22" x14ac:dyDescent="0.2">
      <c r="V3052" s="62"/>
    </row>
    <row r="3053" spans="22:22" x14ac:dyDescent="0.2">
      <c r="V3053" s="62"/>
    </row>
    <row r="3054" spans="22:22" x14ac:dyDescent="0.2">
      <c r="V3054" s="62"/>
    </row>
    <row r="3055" spans="22:22" x14ac:dyDescent="0.2">
      <c r="V3055" s="62"/>
    </row>
    <row r="3056" spans="22:22" x14ac:dyDescent="0.2">
      <c r="V3056" s="62"/>
    </row>
    <row r="3057" spans="22:22" x14ac:dyDescent="0.2">
      <c r="V3057" s="62"/>
    </row>
    <row r="3058" spans="22:22" x14ac:dyDescent="0.2">
      <c r="V3058" s="62"/>
    </row>
    <row r="3059" spans="22:22" x14ac:dyDescent="0.2">
      <c r="V3059" s="62"/>
    </row>
    <row r="3060" spans="22:22" x14ac:dyDescent="0.2">
      <c r="V3060" s="62"/>
    </row>
    <row r="3061" spans="22:22" x14ac:dyDescent="0.2">
      <c r="V3061" s="62"/>
    </row>
    <row r="3062" spans="22:22" x14ac:dyDescent="0.2">
      <c r="V3062" s="62"/>
    </row>
    <row r="3063" spans="22:22" x14ac:dyDescent="0.2">
      <c r="V3063" s="62"/>
    </row>
    <row r="3064" spans="22:22" x14ac:dyDescent="0.2">
      <c r="V3064" s="62"/>
    </row>
    <row r="3065" spans="22:22" x14ac:dyDescent="0.2">
      <c r="V3065" s="62"/>
    </row>
    <row r="3066" spans="22:22" x14ac:dyDescent="0.2">
      <c r="V3066" s="62"/>
    </row>
    <row r="3067" spans="22:22" x14ac:dyDescent="0.2">
      <c r="V3067" s="62"/>
    </row>
    <row r="3068" spans="22:22" x14ac:dyDescent="0.2">
      <c r="V3068" s="62"/>
    </row>
    <row r="3069" spans="22:22" x14ac:dyDescent="0.2">
      <c r="V3069" s="62"/>
    </row>
    <row r="3070" spans="22:22" x14ac:dyDescent="0.2">
      <c r="V3070" s="62"/>
    </row>
    <row r="3071" spans="22:22" x14ac:dyDescent="0.2">
      <c r="V3071" s="62"/>
    </row>
    <row r="3072" spans="22:22" x14ac:dyDescent="0.2">
      <c r="V3072" s="62"/>
    </row>
    <row r="3073" spans="22:22" x14ac:dyDescent="0.2">
      <c r="V3073" s="62"/>
    </row>
    <row r="3074" spans="22:22" x14ac:dyDescent="0.2">
      <c r="V3074" s="62"/>
    </row>
    <row r="3075" spans="22:22" x14ac:dyDescent="0.2">
      <c r="V3075" s="62"/>
    </row>
    <row r="3076" spans="22:22" x14ac:dyDescent="0.2">
      <c r="V3076" s="62"/>
    </row>
    <row r="3077" spans="22:22" x14ac:dyDescent="0.2">
      <c r="V3077" s="62"/>
    </row>
    <row r="3078" spans="22:22" x14ac:dyDescent="0.2">
      <c r="V3078" s="62"/>
    </row>
    <row r="3079" spans="22:22" x14ac:dyDescent="0.2">
      <c r="V3079" s="62"/>
    </row>
    <row r="3080" spans="22:22" x14ac:dyDescent="0.2">
      <c r="V3080" s="62"/>
    </row>
    <row r="3081" spans="22:22" x14ac:dyDescent="0.2">
      <c r="V3081" s="62"/>
    </row>
    <row r="3082" spans="22:22" x14ac:dyDescent="0.2">
      <c r="V3082" s="62"/>
    </row>
    <row r="3083" spans="22:22" x14ac:dyDescent="0.2">
      <c r="V3083" s="62"/>
    </row>
    <row r="3084" spans="22:22" x14ac:dyDescent="0.2">
      <c r="V3084" s="62"/>
    </row>
    <row r="3085" spans="22:22" x14ac:dyDescent="0.2">
      <c r="V3085" s="62"/>
    </row>
    <row r="3086" spans="22:22" x14ac:dyDescent="0.2">
      <c r="V3086" s="62"/>
    </row>
    <row r="3087" spans="22:22" x14ac:dyDescent="0.2">
      <c r="V3087" s="62"/>
    </row>
    <row r="3088" spans="22:22" x14ac:dyDescent="0.2">
      <c r="V3088" s="62"/>
    </row>
    <row r="3089" spans="22:22" x14ac:dyDescent="0.2">
      <c r="V3089" s="62"/>
    </row>
    <row r="3090" spans="22:22" x14ac:dyDescent="0.2">
      <c r="V3090" s="62"/>
    </row>
    <row r="3091" spans="22:22" x14ac:dyDescent="0.2">
      <c r="V3091" s="62"/>
    </row>
    <row r="3092" spans="22:22" x14ac:dyDescent="0.2">
      <c r="V3092" s="62"/>
    </row>
    <row r="3093" spans="22:22" x14ac:dyDescent="0.2">
      <c r="V3093" s="62"/>
    </row>
    <row r="3094" spans="22:22" x14ac:dyDescent="0.2">
      <c r="V3094" s="62"/>
    </row>
    <row r="3095" spans="22:22" x14ac:dyDescent="0.2">
      <c r="V3095" s="62"/>
    </row>
    <row r="3096" spans="22:22" x14ac:dyDescent="0.2">
      <c r="V3096" s="62"/>
    </row>
    <row r="3097" spans="22:22" x14ac:dyDescent="0.2">
      <c r="V3097" s="62"/>
    </row>
    <row r="3098" spans="22:22" x14ac:dyDescent="0.2">
      <c r="V3098" s="62"/>
    </row>
    <row r="3099" spans="22:22" x14ac:dyDescent="0.2">
      <c r="V3099" s="62"/>
    </row>
    <row r="3100" spans="22:22" x14ac:dyDescent="0.2">
      <c r="V3100" s="62"/>
    </row>
    <row r="3101" spans="22:22" x14ac:dyDescent="0.2">
      <c r="V3101" s="62"/>
    </row>
    <row r="3102" spans="22:22" x14ac:dyDescent="0.2">
      <c r="V3102" s="62"/>
    </row>
    <row r="3103" spans="22:22" x14ac:dyDescent="0.2">
      <c r="V3103" s="62"/>
    </row>
    <row r="3104" spans="22:22" x14ac:dyDescent="0.2">
      <c r="V3104" s="62"/>
    </row>
    <row r="3105" spans="22:22" x14ac:dyDescent="0.2">
      <c r="V3105" s="62"/>
    </row>
    <row r="3106" spans="22:22" x14ac:dyDescent="0.2">
      <c r="V3106" s="62"/>
    </row>
    <row r="3107" spans="22:22" x14ac:dyDescent="0.2">
      <c r="V3107" s="62"/>
    </row>
    <row r="3108" spans="22:22" x14ac:dyDescent="0.2">
      <c r="V3108" s="62"/>
    </row>
    <row r="3109" spans="22:22" x14ac:dyDescent="0.2">
      <c r="V3109" s="62"/>
    </row>
    <row r="3110" spans="22:22" x14ac:dyDescent="0.2">
      <c r="V3110" s="62"/>
    </row>
    <row r="3111" spans="22:22" x14ac:dyDescent="0.2">
      <c r="V3111" s="62"/>
    </row>
    <row r="3112" spans="22:22" x14ac:dyDescent="0.2">
      <c r="V3112" s="62"/>
    </row>
    <row r="3113" spans="22:22" x14ac:dyDescent="0.2">
      <c r="V3113" s="62"/>
    </row>
    <row r="3114" spans="22:22" x14ac:dyDescent="0.2">
      <c r="V3114" s="62"/>
    </row>
    <row r="3115" spans="22:22" x14ac:dyDescent="0.2">
      <c r="V3115" s="62"/>
    </row>
    <row r="3116" spans="22:22" x14ac:dyDescent="0.2">
      <c r="V3116" s="62"/>
    </row>
    <row r="3117" spans="22:22" x14ac:dyDescent="0.2">
      <c r="V3117" s="62"/>
    </row>
    <row r="3118" spans="22:22" x14ac:dyDescent="0.2">
      <c r="V3118" s="62"/>
    </row>
    <row r="3119" spans="22:22" x14ac:dyDescent="0.2">
      <c r="V3119" s="62"/>
    </row>
    <row r="3120" spans="22:22" x14ac:dyDescent="0.2">
      <c r="V3120" s="62"/>
    </row>
    <row r="3121" spans="22:22" x14ac:dyDescent="0.2">
      <c r="V3121" s="62"/>
    </row>
    <row r="3122" spans="22:22" x14ac:dyDescent="0.2">
      <c r="V3122" s="62"/>
    </row>
    <row r="3123" spans="22:22" x14ac:dyDescent="0.2">
      <c r="V3123" s="62"/>
    </row>
    <row r="3124" spans="22:22" x14ac:dyDescent="0.2">
      <c r="V3124" s="62"/>
    </row>
    <row r="3125" spans="22:22" x14ac:dyDescent="0.2">
      <c r="V3125" s="62"/>
    </row>
    <row r="3126" spans="22:22" x14ac:dyDescent="0.2">
      <c r="V3126" s="62"/>
    </row>
    <row r="3127" spans="22:22" x14ac:dyDescent="0.2">
      <c r="V3127" s="62"/>
    </row>
    <row r="3128" spans="22:22" x14ac:dyDescent="0.2">
      <c r="V3128" s="62"/>
    </row>
    <row r="3129" spans="22:22" x14ac:dyDescent="0.2">
      <c r="V3129" s="62"/>
    </row>
    <row r="3130" spans="22:22" x14ac:dyDescent="0.2">
      <c r="V3130" s="62"/>
    </row>
    <row r="3131" spans="22:22" x14ac:dyDescent="0.2">
      <c r="V3131" s="62"/>
    </row>
    <row r="3132" spans="22:22" x14ac:dyDescent="0.2">
      <c r="V3132" s="62"/>
    </row>
    <row r="3133" spans="22:22" x14ac:dyDescent="0.2">
      <c r="V3133" s="62"/>
    </row>
    <row r="3134" spans="22:22" x14ac:dyDescent="0.2">
      <c r="V3134" s="62"/>
    </row>
    <row r="3135" spans="22:22" x14ac:dyDescent="0.2">
      <c r="V3135" s="62"/>
    </row>
    <row r="3136" spans="22:22" x14ac:dyDescent="0.2">
      <c r="V3136" s="62"/>
    </row>
    <row r="3137" spans="22:22" x14ac:dyDescent="0.2">
      <c r="V3137" s="62"/>
    </row>
    <row r="3138" spans="22:22" x14ac:dyDescent="0.2">
      <c r="V3138" s="62"/>
    </row>
    <row r="3139" spans="22:22" x14ac:dyDescent="0.2">
      <c r="V3139" s="62"/>
    </row>
    <row r="3140" spans="22:22" x14ac:dyDescent="0.2">
      <c r="V3140" s="62"/>
    </row>
    <row r="3141" spans="22:22" x14ac:dyDescent="0.2">
      <c r="V3141" s="62"/>
    </row>
    <row r="3142" spans="22:22" x14ac:dyDescent="0.2">
      <c r="V3142" s="62"/>
    </row>
    <row r="3143" spans="22:22" x14ac:dyDescent="0.2">
      <c r="V3143" s="62"/>
    </row>
    <row r="3144" spans="22:22" x14ac:dyDescent="0.2">
      <c r="V3144" s="62"/>
    </row>
    <row r="3145" spans="22:22" x14ac:dyDescent="0.2">
      <c r="V3145" s="62"/>
    </row>
    <row r="3146" spans="22:22" x14ac:dyDescent="0.2">
      <c r="V3146" s="62"/>
    </row>
    <row r="3147" spans="22:22" x14ac:dyDescent="0.2">
      <c r="V3147" s="62"/>
    </row>
    <row r="3148" spans="22:22" x14ac:dyDescent="0.2">
      <c r="V3148" s="62"/>
    </row>
    <row r="3149" spans="22:22" x14ac:dyDescent="0.2">
      <c r="V3149" s="62"/>
    </row>
    <row r="3150" spans="22:22" x14ac:dyDescent="0.2">
      <c r="V3150" s="62"/>
    </row>
    <row r="3151" spans="22:22" x14ac:dyDescent="0.2">
      <c r="V3151" s="62"/>
    </row>
    <row r="3152" spans="22:22" x14ac:dyDescent="0.2">
      <c r="V3152" s="62"/>
    </row>
    <row r="3153" spans="22:22" x14ac:dyDescent="0.2">
      <c r="V3153" s="62"/>
    </row>
    <row r="3154" spans="22:22" x14ac:dyDescent="0.2">
      <c r="V3154" s="62"/>
    </row>
    <row r="3155" spans="22:22" x14ac:dyDescent="0.2">
      <c r="V3155" s="62"/>
    </row>
    <row r="3156" spans="22:22" x14ac:dyDescent="0.2">
      <c r="V3156" s="62"/>
    </row>
    <row r="3157" spans="22:22" x14ac:dyDescent="0.2">
      <c r="V3157" s="62"/>
    </row>
    <row r="3158" spans="22:22" x14ac:dyDescent="0.2">
      <c r="V3158" s="62"/>
    </row>
    <row r="3159" spans="22:22" x14ac:dyDescent="0.2">
      <c r="V3159" s="62"/>
    </row>
    <row r="3160" spans="22:22" x14ac:dyDescent="0.2">
      <c r="V3160" s="62"/>
    </row>
    <row r="3161" spans="22:22" x14ac:dyDescent="0.2">
      <c r="V3161" s="62"/>
    </row>
    <row r="3162" spans="22:22" x14ac:dyDescent="0.2">
      <c r="V3162" s="62"/>
    </row>
    <row r="3163" spans="22:22" x14ac:dyDescent="0.2">
      <c r="V3163" s="62"/>
    </row>
    <row r="3164" spans="22:22" x14ac:dyDescent="0.2">
      <c r="V3164" s="62"/>
    </row>
    <row r="3165" spans="22:22" x14ac:dyDescent="0.2">
      <c r="V3165" s="62"/>
    </row>
    <row r="3166" spans="22:22" x14ac:dyDescent="0.2">
      <c r="V3166" s="62"/>
    </row>
    <row r="3167" spans="22:22" x14ac:dyDescent="0.2">
      <c r="V3167" s="62"/>
    </row>
    <row r="3168" spans="22:22" x14ac:dyDescent="0.2">
      <c r="V3168" s="62"/>
    </row>
    <row r="3169" spans="22:22" x14ac:dyDescent="0.2">
      <c r="V3169" s="62"/>
    </row>
    <row r="3170" spans="22:22" x14ac:dyDescent="0.2">
      <c r="V3170" s="62"/>
    </row>
    <row r="3171" spans="22:22" x14ac:dyDescent="0.2">
      <c r="V3171" s="62"/>
    </row>
    <row r="3172" spans="22:22" x14ac:dyDescent="0.2">
      <c r="V3172" s="62"/>
    </row>
    <row r="3173" spans="22:22" x14ac:dyDescent="0.2">
      <c r="V3173" s="62"/>
    </row>
    <row r="3174" spans="22:22" x14ac:dyDescent="0.2">
      <c r="V3174" s="62"/>
    </row>
    <row r="3175" spans="22:22" x14ac:dyDescent="0.2">
      <c r="V3175" s="62"/>
    </row>
    <row r="3176" spans="22:22" x14ac:dyDescent="0.2">
      <c r="V3176" s="62"/>
    </row>
    <row r="3177" spans="22:22" x14ac:dyDescent="0.2">
      <c r="V3177" s="62"/>
    </row>
    <row r="3178" spans="22:22" x14ac:dyDescent="0.2">
      <c r="V3178" s="62"/>
    </row>
    <row r="3179" spans="22:22" x14ac:dyDescent="0.2">
      <c r="V3179" s="62"/>
    </row>
    <row r="3180" spans="22:22" x14ac:dyDescent="0.2">
      <c r="V3180" s="62"/>
    </row>
    <row r="3181" spans="22:22" x14ac:dyDescent="0.2">
      <c r="V3181" s="62"/>
    </row>
    <row r="3182" spans="22:22" x14ac:dyDescent="0.2">
      <c r="V3182" s="62"/>
    </row>
    <row r="3183" spans="22:22" x14ac:dyDescent="0.2">
      <c r="V3183" s="62"/>
    </row>
    <row r="3184" spans="22:22" x14ac:dyDescent="0.2">
      <c r="V3184" s="62"/>
    </row>
    <row r="3185" spans="22:22" x14ac:dyDescent="0.2">
      <c r="V3185" s="62"/>
    </row>
    <row r="3186" spans="22:22" x14ac:dyDescent="0.2">
      <c r="V3186" s="62"/>
    </row>
    <row r="3187" spans="22:22" x14ac:dyDescent="0.2">
      <c r="V3187" s="62"/>
    </row>
    <row r="3188" spans="22:22" x14ac:dyDescent="0.2">
      <c r="V3188" s="62"/>
    </row>
    <row r="3189" spans="22:22" x14ac:dyDescent="0.2">
      <c r="V3189" s="62"/>
    </row>
    <row r="3190" spans="22:22" x14ac:dyDescent="0.2">
      <c r="V3190" s="62"/>
    </row>
    <row r="3191" spans="22:22" x14ac:dyDescent="0.2">
      <c r="V3191" s="62"/>
    </row>
    <row r="3192" spans="22:22" x14ac:dyDescent="0.2">
      <c r="V3192" s="62"/>
    </row>
    <row r="3193" spans="22:22" x14ac:dyDescent="0.2">
      <c r="V3193" s="62"/>
    </row>
    <row r="3194" spans="22:22" x14ac:dyDescent="0.2">
      <c r="V3194" s="62"/>
    </row>
    <row r="3195" spans="22:22" x14ac:dyDescent="0.2">
      <c r="V3195" s="62"/>
    </row>
    <row r="3196" spans="22:22" x14ac:dyDescent="0.2">
      <c r="V3196" s="62"/>
    </row>
    <row r="3197" spans="22:22" x14ac:dyDescent="0.2">
      <c r="V3197" s="62"/>
    </row>
    <row r="3198" spans="22:22" x14ac:dyDescent="0.2">
      <c r="V3198" s="62"/>
    </row>
    <row r="3199" spans="22:22" x14ac:dyDescent="0.2">
      <c r="V3199" s="62"/>
    </row>
    <row r="3200" spans="22:22" x14ac:dyDescent="0.2">
      <c r="V3200" s="62"/>
    </row>
    <row r="3201" spans="22:22" x14ac:dyDescent="0.2">
      <c r="V3201" s="62"/>
    </row>
    <row r="3202" spans="22:22" x14ac:dyDescent="0.2">
      <c r="V3202" s="62"/>
    </row>
    <row r="3203" spans="22:22" x14ac:dyDescent="0.2">
      <c r="V3203" s="62"/>
    </row>
    <row r="3204" spans="22:22" x14ac:dyDescent="0.2">
      <c r="V3204" s="62"/>
    </row>
    <row r="3205" spans="22:22" x14ac:dyDescent="0.2">
      <c r="V3205" s="62"/>
    </row>
    <row r="3206" spans="22:22" x14ac:dyDescent="0.2">
      <c r="V3206" s="62"/>
    </row>
    <row r="3207" spans="22:22" x14ac:dyDescent="0.2">
      <c r="V3207" s="62"/>
    </row>
    <row r="3208" spans="22:22" x14ac:dyDescent="0.2">
      <c r="V3208" s="62"/>
    </row>
    <row r="3209" spans="22:22" x14ac:dyDescent="0.2">
      <c r="V3209" s="62"/>
    </row>
    <row r="3210" spans="22:22" x14ac:dyDescent="0.2">
      <c r="V3210" s="62"/>
    </row>
    <row r="3211" spans="22:22" x14ac:dyDescent="0.2">
      <c r="V3211" s="62"/>
    </row>
    <row r="3212" spans="22:22" x14ac:dyDescent="0.2">
      <c r="V3212" s="62"/>
    </row>
    <row r="3213" spans="22:22" x14ac:dyDescent="0.2">
      <c r="V3213" s="62"/>
    </row>
    <row r="3214" spans="22:22" x14ac:dyDescent="0.2">
      <c r="V3214" s="62"/>
    </row>
    <row r="3215" spans="22:22" x14ac:dyDescent="0.2">
      <c r="V3215" s="62"/>
    </row>
    <row r="3216" spans="22:22" x14ac:dyDescent="0.2">
      <c r="V3216" s="62"/>
    </row>
    <row r="3217" spans="22:22" x14ac:dyDescent="0.2">
      <c r="V3217" s="62"/>
    </row>
    <row r="3218" spans="22:22" x14ac:dyDescent="0.2">
      <c r="V3218" s="62"/>
    </row>
    <row r="3219" spans="22:22" x14ac:dyDescent="0.2">
      <c r="V3219" s="62"/>
    </row>
    <row r="3220" spans="22:22" x14ac:dyDescent="0.2">
      <c r="V3220" s="62"/>
    </row>
    <row r="3221" spans="22:22" x14ac:dyDescent="0.2">
      <c r="V3221" s="62"/>
    </row>
    <row r="3222" spans="22:22" x14ac:dyDescent="0.2">
      <c r="V3222" s="62"/>
    </row>
    <row r="3223" spans="22:22" x14ac:dyDescent="0.2">
      <c r="V3223" s="62"/>
    </row>
    <row r="3224" spans="22:22" x14ac:dyDescent="0.2">
      <c r="V3224" s="62"/>
    </row>
    <row r="3225" spans="22:22" x14ac:dyDescent="0.2">
      <c r="V3225" s="62"/>
    </row>
    <row r="3226" spans="22:22" x14ac:dyDescent="0.2">
      <c r="V3226" s="62"/>
    </row>
    <row r="3227" spans="22:22" x14ac:dyDescent="0.2">
      <c r="V3227" s="62"/>
    </row>
    <row r="3228" spans="22:22" x14ac:dyDescent="0.2">
      <c r="V3228" s="62"/>
    </row>
    <row r="3229" spans="22:22" x14ac:dyDescent="0.2">
      <c r="V3229" s="62"/>
    </row>
    <row r="3230" spans="22:22" x14ac:dyDescent="0.2">
      <c r="V3230" s="62"/>
    </row>
    <row r="3231" spans="22:22" x14ac:dyDescent="0.2">
      <c r="V3231" s="62"/>
    </row>
    <row r="3232" spans="22:22" x14ac:dyDescent="0.2">
      <c r="V3232" s="62"/>
    </row>
    <row r="3233" spans="22:22" x14ac:dyDescent="0.2">
      <c r="V3233" s="62"/>
    </row>
    <row r="3234" spans="22:22" x14ac:dyDescent="0.2">
      <c r="V3234" s="62"/>
    </row>
    <row r="3235" spans="22:22" x14ac:dyDescent="0.2">
      <c r="V3235" s="62"/>
    </row>
    <row r="3236" spans="22:22" x14ac:dyDescent="0.2">
      <c r="V3236" s="62"/>
    </row>
    <row r="3237" spans="22:22" x14ac:dyDescent="0.2">
      <c r="V3237" s="62"/>
    </row>
    <row r="3238" spans="22:22" x14ac:dyDescent="0.2">
      <c r="V3238" s="62"/>
    </row>
    <row r="3239" spans="22:22" x14ac:dyDescent="0.2">
      <c r="V3239" s="62"/>
    </row>
    <row r="3240" spans="22:22" x14ac:dyDescent="0.2">
      <c r="V3240" s="62"/>
    </row>
    <row r="3241" spans="22:22" x14ac:dyDescent="0.2">
      <c r="V3241" s="62"/>
    </row>
    <row r="3242" spans="22:22" x14ac:dyDescent="0.2">
      <c r="V3242" s="62"/>
    </row>
    <row r="3243" spans="22:22" x14ac:dyDescent="0.2">
      <c r="V3243" s="62"/>
    </row>
    <row r="3244" spans="22:22" x14ac:dyDescent="0.2">
      <c r="V3244" s="62"/>
    </row>
    <row r="3245" spans="22:22" x14ac:dyDescent="0.2">
      <c r="V3245" s="62"/>
    </row>
    <row r="3246" spans="22:22" x14ac:dyDescent="0.2">
      <c r="V3246" s="62"/>
    </row>
    <row r="3247" spans="22:22" x14ac:dyDescent="0.2">
      <c r="V3247" s="62"/>
    </row>
    <row r="3248" spans="22:22" x14ac:dyDescent="0.2">
      <c r="V3248" s="62"/>
    </row>
    <row r="3249" spans="22:22" x14ac:dyDescent="0.2">
      <c r="V3249" s="62"/>
    </row>
    <row r="3250" spans="22:22" x14ac:dyDescent="0.2">
      <c r="V3250" s="62"/>
    </row>
    <row r="3251" spans="22:22" x14ac:dyDescent="0.2">
      <c r="V3251" s="62"/>
    </row>
    <row r="3252" spans="22:22" x14ac:dyDescent="0.2">
      <c r="V3252" s="62"/>
    </row>
    <row r="3253" spans="22:22" x14ac:dyDescent="0.2">
      <c r="V3253" s="62"/>
    </row>
    <row r="3254" spans="22:22" x14ac:dyDescent="0.2">
      <c r="V3254" s="62"/>
    </row>
    <row r="3255" spans="22:22" x14ac:dyDescent="0.2">
      <c r="V3255" s="62"/>
    </row>
    <row r="3256" spans="22:22" x14ac:dyDescent="0.2">
      <c r="V3256" s="62"/>
    </row>
    <row r="3257" spans="22:22" x14ac:dyDescent="0.2">
      <c r="V3257" s="62"/>
    </row>
    <row r="3258" spans="22:22" x14ac:dyDescent="0.2">
      <c r="V3258" s="62"/>
    </row>
    <row r="3259" spans="22:22" x14ac:dyDescent="0.2">
      <c r="V3259" s="62"/>
    </row>
    <row r="3260" spans="22:22" x14ac:dyDescent="0.2">
      <c r="V3260" s="62"/>
    </row>
    <row r="3261" spans="22:22" x14ac:dyDescent="0.2">
      <c r="V3261" s="62"/>
    </row>
    <row r="3262" spans="22:22" x14ac:dyDescent="0.2">
      <c r="V3262" s="62"/>
    </row>
    <row r="3263" spans="22:22" x14ac:dyDescent="0.2">
      <c r="V3263" s="62"/>
    </row>
    <row r="3264" spans="22:22" x14ac:dyDescent="0.2">
      <c r="V3264" s="62"/>
    </row>
    <row r="3265" spans="22:22" x14ac:dyDescent="0.2">
      <c r="V3265" s="62"/>
    </row>
    <row r="3266" spans="22:22" x14ac:dyDescent="0.2">
      <c r="V3266" s="62"/>
    </row>
    <row r="3267" spans="22:22" x14ac:dyDescent="0.2">
      <c r="V3267" s="62"/>
    </row>
    <row r="3268" spans="22:22" x14ac:dyDescent="0.2">
      <c r="V3268" s="62"/>
    </row>
    <row r="3269" spans="22:22" x14ac:dyDescent="0.2">
      <c r="V3269" s="62"/>
    </row>
    <row r="3270" spans="22:22" x14ac:dyDescent="0.2">
      <c r="V3270" s="62"/>
    </row>
    <row r="3271" spans="22:22" x14ac:dyDescent="0.2">
      <c r="V3271" s="62"/>
    </row>
    <row r="3272" spans="22:22" x14ac:dyDescent="0.2">
      <c r="V3272" s="62"/>
    </row>
    <row r="3273" spans="22:22" x14ac:dyDescent="0.2">
      <c r="V3273" s="62"/>
    </row>
    <row r="3274" spans="22:22" x14ac:dyDescent="0.2">
      <c r="V3274" s="62"/>
    </row>
    <row r="3275" spans="22:22" x14ac:dyDescent="0.2">
      <c r="V3275" s="62"/>
    </row>
    <row r="3276" spans="22:22" x14ac:dyDescent="0.2">
      <c r="V3276" s="62"/>
    </row>
    <row r="3277" spans="22:22" x14ac:dyDescent="0.2">
      <c r="V3277" s="62"/>
    </row>
    <row r="3278" spans="22:22" x14ac:dyDescent="0.2">
      <c r="V3278" s="62"/>
    </row>
    <row r="3279" spans="22:22" x14ac:dyDescent="0.2">
      <c r="V3279" s="62"/>
    </row>
    <row r="3280" spans="22:22" x14ac:dyDescent="0.2">
      <c r="V3280" s="62"/>
    </row>
    <row r="3281" spans="22:22" x14ac:dyDescent="0.2">
      <c r="V3281" s="62"/>
    </row>
    <row r="3282" spans="22:22" x14ac:dyDescent="0.2">
      <c r="V3282" s="62"/>
    </row>
    <row r="3283" spans="22:22" x14ac:dyDescent="0.2">
      <c r="V3283" s="62"/>
    </row>
    <row r="3284" spans="22:22" x14ac:dyDescent="0.2">
      <c r="V3284" s="62"/>
    </row>
    <row r="3285" spans="22:22" x14ac:dyDescent="0.2">
      <c r="V3285" s="62"/>
    </row>
    <row r="3286" spans="22:22" x14ac:dyDescent="0.2">
      <c r="V3286" s="62"/>
    </row>
    <row r="3287" spans="22:22" x14ac:dyDescent="0.2">
      <c r="V3287" s="62"/>
    </row>
    <row r="3288" spans="22:22" x14ac:dyDescent="0.2">
      <c r="V3288" s="62"/>
    </row>
    <row r="3289" spans="22:22" x14ac:dyDescent="0.2">
      <c r="V3289" s="62"/>
    </row>
    <row r="3290" spans="22:22" x14ac:dyDescent="0.2">
      <c r="V3290" s="62"/>
    </row>
    <row r="3291" spans="22:22" x14ac:dyDescent="0.2">
      <c r="V3291" s="62"/>
    </row>
    <row r="3292" spans="22:22" x14ac:dyDescent="0.2">
      <c r="V3292" s="62"/>
    </row>
    <row r="3293" spans="22:22" x14ac:dyDescent="0.2">
      <c r="V3293" s="62"/>
    </row>
    <row r="3294" spans="22:22" x14ac:dyDescent="0.2">
      <c r="V3294" s="62"/>
    </row>
    <row r="3295" spans="22:22" x14ac:dyDescent="0.2">
      <c r="V3295" s="62"/>
    </row>
    <row r="3296" spans="22:22" x14ac:dyDescent="0.2">
      <c r="V3296" s="62"/>
    </row>
    <row r="3297" spans="22:22" x14ac:dyDescent="0.2">
      <c r="V3297" s="62"/>
    </row>
    <row r="3298" spans="22:22" x14ac:dyDescent="0.2">
      <c r="V3298" s="62"/>
    </row>
    <row r="3299" spans="22:22" x14ac:dyDescent="0.2">
      <c r="V3299" s="62"/>
    </row>
    <row r="3300" spans="22:22" x14ac:dyDescent="0.2">
      <c r="V3300" s="62"/>
    </row>
    <row r="3301" spans="22:22" x14ac:dyDescent="0.2">
      <c r="V3301" s="62"/>
    </row>
    <row r="3302" spans="22:22" x14ac:dyDescent="0.2">
      <c r="V3302" s="62"/>
    </row>
    <row r="3303" spans="22:22" x14ac:dyDescent="0.2">
      <c r="V3303" s="62"/>
    </row>
    <row r="3304" spans="22:22" x14ac:dyDescent="0.2">
      <c r="V3304" s="62"/>
    </row>
    <row r="3305" spans="22:22" x14ac:dyDescent="0.2">
      <c r="V3305" s="62"/>
    </row>
    <row r="3306" spans="22:22" x14ac:dyDescent="0.2">
      <c r="V3306" s="62"/>
    </row>
    <row r="3307" spans="22:22" x14ac:dyDescent="0.2">
      <c r="V3307" s="62"/>
    </row>
    <row r="3308" spans="22:22" x14ac:dyDescent="0.2">
      <c r="V3308" s="62"/>
    </row>
    <row r="3309" spans="22:22" x14ac:dyDescent="0.2">
      <c r="V3309" s="62"/>
    </row>
    <row r="3310" spans="22:22" x14ac:dyDescent="0.2">
      <c r="V3310" s="62"/>
    </row>
    <row r="3311" spans="22:22" x14ac:dyDescent="0.2">
      <c r="V3311" s="62"/>
    </row>
    <row r="3312" spans="22:22" x14ac:dyDescent="0.2">
      <c r="V3312" s="62"/>
    </row>
    <row r="3313" spans="22:22" x14ac:dyDescent="0.2">
      <c r="V3313" s="62"/>
    </row>
    <row r="3314" spans="22:22" x14ac:dyDescent="0.2">
      <c r="V3314" s="62"/>
    </row>
    <row r="3315" spans="22:22" x14ac:dyDescent="0.2">
      <c r="V3315" s="62"/>
    </row>
    <row r="3316" spans="22:22" x14ac:dyDescent="0.2">
      <c r="V3316" s="62"/>
    </row>
    <row r="3317" spans="22:22" x14ac:dyDescent="0.2">
      <c r="V3317" s="62"/>
    </row>
    <row r="3318" spans="22:22" x14ac:dyDescent="0.2">
      <c r="V3318" s="62"/>
    </row>
    <row r="3319" spans="22:22" x14ac:dyDescent="0.2">
      <c r="V3319" s="62"/>
    </row>
    <row r="3320" spans="22:22" x14ac:dyDescent="0.2">
      <c r="V3320" s="62"/>
    </row>
    <row r="3321" spans="22:22" x14ac:dyDescent="0.2">
      <c r="V3321" s="62"/>
    </row>
    <row r="3322" spans="22:22" x14ac:dyDescent="0.2">
      <c r="V3322" s="62"/>
    </row>
    <row r="3323" spans="22:22" x14ac:dyDescent="0.2">
      <c r="V3323" s="62"/>
    </row>
    <row r="3324" spans="22:22" x14ac:dyDescent="0.2">
      <c r="V3324" s="62"/>
    </row>
    <row r="3325" spans="22:22" x14ac:dyDescent="0.2">
      <c r="V3325" s="62"/>
    </row>
    <row r="3326" spans="22:22" x14ac:dyDescent="0.2">
      <c r="V3326" s="62"/>
    </row>
    <row r="3327" spans="22:22" x14ac:dyDescent="0.2">
      <c r="V3327" s="62"/>
    </row>
    <row r="3328" spans="22:22" x14ac:dyDescent="0.2">
      <c r="V3328" s="62"/>
    </row>
    <row r="3329" spans="22:22" x14ac:dyDescent="0.2">
      <c r="V3329" s="62"/>
    </row>
    <row r="3330" spans="22:22" x14ac:dyDescent="0.2">
      <c r="V3330" s="62"/>
    </row>
    <row r="3331" spans="22:22" x14ac:dyDescent="0.2">
      <c r="V3331" s="62"/>
    </row>
    <row r="3332" spans="22:22" x14ac:dyDescent="0.2">
      <c r="V3332" s="62"/>
    </row>
    <row r="3333" spans="22:22" x14ac:dyDescent="0.2">
      <c r="V3333" s="62"/>
    </row>
    <row r="3334" spans="22:22" x14ac:dyDescent="0.2">
      <c r="V3334" s="62"/>
    </row>
    <row r="3335" spans="22:22" x14ac:dyDescent="0.2">
      <c r="V3335" s="62"/>
    </row>
    <row r="3336" spans="22:22" x14ac:dyDescent="0.2">
      <c r="V3336" s="62"/>
    </row>
    <row r="3337" spans="22:22" x14ac:dyDescent="0.2">
      <c r="V3337" s="62"/>
    </row>
    <row r="3338" spans="22:22" x14ac:dyDescent="0.2">
      <c r="V3338" s="62"/>
    </row>
    <row r="3339" spans="22:22" x14ac:dyDescent="0.2">
      <c r="V3339" s="62"/>
    </row>
    <row r="3340" spans="22:22" x14ac:dyDescent="0.2">
      <c r="V3340" s="62"/>
    </row>
    <row r="3341" spans="22:22" x14ac:dyDescent="0.2">
      <c r="V3341" s="62"/>
    </row>
    <row r="3342" spans="22:22" x14ac:dyDescent="0.2">
      <c r="V3342" s="62"/>
    </row>
    <row r="3343" spans="22:22" x14ac:dyDescent="0.2">
      <c r="V3343" s="62"/>
    </row>
    <row r="3344" spans="22:22" x14ac:dyDescent="0.2">
      <c r="V3344" s="62"/>
    </row>
    <row r="3345" spans="22:22" x14ac:dyDescent="0.2">
      <c r="V3345" s="62"/>
    </row>
    <row r="3346" spans="22:22" x14ac:dyDescent="0.2">
      <c r="V3346" s="62"/>
    </row>
    <row r="3347" spans="22:22" x14ac:dyDescent="0.2">
      <c r="V3347" s="62"/>
    </row>
    <row r="3348" spans="22:22" x14ac:dyDescent="0.2">
      <c r="V3348" s="62"/>
    </row>
    <row r="3349" spans="22:22" x14ac:dyDescent="0.2">
      <c r="V3349" s="62"/>
    </row>
    <row r="3350" spans="22:22" x14ac:dyDescent="0.2">
      <c r="V3350" s="62"/>
    </row>
    <row r="3351" spans="22:22" x14ac:dyDescent="0.2">
      <c r="V3351" s="62"/>
    </row>
    <row r="3352" spans="22:22" x14ac:dyDescent="0.2">
      <c r="V3352" s="62"/>
    </row>
    <row r="3353" spans="22:22" x14ac:dyDescent="0.2">
      <c r="V3353" s="62"/>
    </row>
    <row r="3354" spans="22:22" x14ac:dyDescent="0.2">
      <c r="V3354" s="62"/>
    </row>
    <row r="3355" spans="22:22" x14ac:dyDescent="0.2">
      <c r="V3355" s="62"/>
    </row>
    <row r="3356" spans="22:22" x14ac:dyDescent="0.2">
      <c r="V3356" s="62"/>
    </row>
    <row r="3357" spans="22:22" x14ac:dyDescent="0.2">
      <c r="V3357" s="62"/>
    </row>
    <row r="3358" spans="22:22" x14ac:dyDescent="0.2">
      <c r="V3358" s="62"/>
    </row>
    <row r="3359" spans="22:22" x14ac:dyDescent="0.2">
      <c r="V3359" s="62"/>
    </row>
    <row r="3360" spans="22:22" x14ac:dyDescent="0.2">
      <c r="V3360" s="62"/>
    </row>
    <row r="3361" spans="22:22" x14ac:dyDescent="0.2">
      <c r="V3361" s="62"/>
    </row>
    <row r="3362" spans="22:22" x14ac:dyDescent="0.2">
      <c r="V3362" s="62"/>
    </row>
    <row r="3363" spans="22:22" x14ac:dyDescent="0.2">
      <c r="V3363" s="62"/>
    </row>
    <row r="3364" spans="22:22" x14ac:dyDescent="0.2">
      <c r="V3364" s="62"/>
    </row>
    <row r="3365" spans="22:22" x14ac:dyDescent="0.2">
      <c r="V3365" s="62"/>
    </row>
    <row r="3366" spans="22:22" x14ac:dyDescent="0.2">
      <c r="V3366" s="62"/>
    </row>
    <row r="3367" spans="22:22" x14ac:dyDescent="0.2">
      <c r="V3367" s="62"/>
    </row>
    <row r="3368" spans="22:22" x14ac:dyDescent="0.2">
      <c r="V3368" s="62"/>
    </row>
    <row r="3369" spans="22:22" x14ac:dyDescent="0.2">
      <c r="V3369" s="62"/>
    </row>
    <row r="3370" spans="22:22" x14ac:dyDescent="0.2">
      <c r="V3370" s="62"/>
    </row>
    <row r="3371" spans="22:22" x14ac:dyDescent="0.2">
      <c r="V3371" s="62"/>
    </row>
    <row r="3372" spans="22:22" x14ac:dyDescent="0.2">
      <c r="V3372" s="62"/>
    </row>
    <row r="3373" spans="22:22" x14ac:dyDescent="0.2">
      <c r="V3373" s="62"/>
    </row>
    <row r="3374" spans="22:22" x14ac:dyDescent="0.2">
      <c r="V3374" s="62"/>
    </row>
    <row r="3375" spans="22:22" x14ac:dyDescent="0.2">
      <c r="V3375" s="62"/>
    </row>
    <row r="3376" spans="22:22" x14ac:dyDescent="0.2">
      <c r="V3376" s="62"/>
    </row>
    <row r="3377" spans="22:22" x14ac:dyDescent="0.2">
      <c r="V3377" s="62"/>
    </row>
    <row r="3378" spans="22:22" x14ac:dyDescent="0.2">
      <c r="V3378" s="62"/>
    </row>
    <row r="3379" spans="22:22" x14ac:dyDescent="0.2">
      <c r="V3379" s="62"/>
    </row>
    <row r="3380" spans="22:22" x14ac:dyDescent="0.2">
      <c r="V3380" s="62"/>
    </row>
    <row r="3381" spans="22:22" x14ac:dyDescent="0.2">
      <c r="V3381" s="62"/>
    </row>
    <row r="3382" spans="22:22" x14ac:dyDescent="0.2">
      <c r="V3382" s="62"/>
    </row>
    <row r="3383" spans="22:22" x14ac:dyDescent="0.2">
      <c r="V3383" s="62"/>
    </row>
    <row r="3384" spans="22:22" x14ac:dyDescent="0.2">
      <c r="V3384" s="62"/>
    </row>
    <row r="3385" spans="22:22" x14ac:dyDescent="0.2">
      <c r="V3385" s="62"/>
    </row>
    <row r="3386" spans="22:22" x14ac:dyDescent="0.2">
      <c r="V3386" s="62"/>
    </row>
    <row r="3387" spans="22:22" x14ac:dyDescent="0.2">
      <c r="V3387" s="62"/>
    </row>
    <row r="3388" spans="22:22" x14ac:dyDescent="0.2">
      <c r="V3388" s="62"/>
    </row>
    <row r="3389" spans="22:22" x14ac:dyDescent="0.2">
      <c r="V3389" s="62"/>
    </row>
    <row r="3390" spans="22:22" x14ac:dyDescent="0.2">
      <c r="V3390" s="62"/>
    </row>
    <row r="3391" spans="22:22" x14ac:dyDescent="0.2">
      <c r="V3391" s="62"/>
    </row>
    <row r="3392" spans="22:22" x14ac:dyDescent="0.2">
      <c r="V3392" s="62"/>
    </row>
    <row r="3393" spans="22:22" x14ac:dyDescent="0.2">
      <c r="V3393" s="62"/>
    </row>
    <row r="3394" spans="22:22" x14ac:dyDescent="0.2">
      <c r="V3394" s="62"/>
    </row>
    <row r="3395" spans="22:22" x14ac:dyDescent="0.2">
      <c r="V3395" s="62"/>
    </row>
    <row r="3396" spans="22:22" x14ac:dyDescent="0.2">
      <c r="V3396" s="62"/>
    </row>
    <row r="3397" spans="22:22" x14ac:dyDescent="0.2">
      <c r="V3397" s="62"/>
    </row>
    <row r="3398" spans="22:22" x14ac:dyDescent="0.2">
      <c r="V3398" s="62"/>
    </row>
    <row r="3399" spans="22:22" x14ac:dyDescent="0.2">
      <c r="V3399" s="62"/>
    </row>
    <row r="3400" spans="22:22" x14ac:dyDescent="0.2">
      <c r="V3400" s="62"/>
    </row>
    <row r="3401" spans="22:22" x14ac:dyDescent="0.2">
      <c r="V3401" s="62"/>
    </row>
    <row r="3402" spans="22:22" x14ac:dyDescent="0.2">
      <c r="V3402" s="62"/>
    </row>
    <row r="3403" spans="22:22" x14ac:dyDescent="0.2">
      <c r="V3403" s="62"/>
    </row>
    <row r="3404" spans="22:22" x14ac:dyDescent="0.2">
      <c r="V3404" s="62"/>
    </row>
    <row r="3405" spans="22:22" x14ac:dyDescent="0.2">
      <c r="V3405" s="62"/>
    </row>
    <row r="3406" spans="22:22" x14ac:dyDescent="0.2">
      <c r="V3406" s="62"/>
    </row>
    <row r="3407" spans="22:22" x14ac:dyDescent="0.2">
      <c r="V3407" s="62"/>
    </row>
    <row r="3408" spans="22:22" x14ac:dyDescent="0.2">
      <c r="V3408" s="62"/>
    </row>
    <row r="3409" spans="22:22" x14ac:dyDescent="0.2">
      <c r="V3409" s="62"/>
    </row>
    <row r="3410" spans="22:22" x14ac:dyDescent="0.2">
      <c r="V3410" s="62"/>
    </row>
    <row r="3411" spans="22:22" x14ac:dyDescent="0.2">
      <c r="V3411" s="62"/>
    </row>
    <row r="3412" spans="22:22" x14ac:dyDescent="0.2">
      <c r="V3412" s="62"/>
    </row>
    <row r="3413" spans="22:22" x14ac:dyDescent="0.2">
      <c r="V3413" s="62"/>
    </row>
    <row r="3414" spans="22:22" x14ac:dyDescent="0.2">
      <c r="V3414" s="62"/>
    </row>
    <row r="3415" spans="22:22" x14ac:dyDescent="0.2">
      <c r="V3415" s="62"/>
    </row>
    <row r="3416" spans="22:22" x14ac:dyDescent="0.2">
      <c r="V3416" s="62"/>
    </row>
    <row r="3417" spans="22:22" x14ac:dyDescent="0.2">
      <c r="V3417" s="62"/>
    </row>
    <row r="3418" spans="22:22" x14ac:dyDescent="0.2">
      <c r="V3418" s="62"/>
    </row>
    <row r="3419" spans="22:22" x14ac:dyDescent="0.2">
      <c r="V3419" s="62"/>
    </row>
    <row r="3420" spans="22:22" x14ac:dyDescent="0.2">
      <c r="V3420" s="62"/>
    </row>
    <row r="3421" spans="22:22" x14ac:dyDescent="0.2">
      <c r="V3421" s="62"/>
    </row>
    <row r="3422" spans="22:22" x14ac:dyDescent="0.2">
      <c r="V3422" s="62"/>
    </row>
    <row r="3423" spans="22:22" x14ac:dyDescent="0.2">
      <c r="V3423" s="62"/>
    </row>
    <row r="3424" spans="22:22" x14ac:dyDescent="0.2">
      <c r="V3424" s="62"/>
    </row>
    <row r="3425" spans="22:22" x14ac:dyDescent="0.2">
      <c r="V3425" s="62"/>
    </row>
    <row r="3426" spans="22:22" x14ac:dyDescent="0.2">
      <c r="V3426" s="62"/>
    </row>
    <row r="3427" spans="22:22" x14ac:dyDescent="0.2">
      <c r="V3427" s="62"/>
    </row>
    <row r="3428" spans="22:22" x14ac:dyDescent="0.2">
      <c r="V3428" s="62"/>
    </row>
    <row r="3429" spans="22:22" x14ac:dyDescent="0.2">
      <c r="V3429" s="62"/>
    </row>
    <row r="3430" spans="22:22" x14ac:dyDescent="0.2">
      <c r="V3430" s="62"/>
    </row>
    <row r="3431" spans="22:22" x14ac:dyDescent="0.2">
      <c r="V3431" s="62"/>
    </row>
    <row r="3432" spans="22:22" x14ac:dyDescent="0.2">
      <c r="V3432" s="62"/>
    </row>
    <row r="3433" spans="22:22" x14ac:dyDescent="0.2">
      <c r="V3433" s="62"/>
    </row>
    <row r="3434" spans="22:22" x14ac:dyDescent="0.2">
      <c r="V3434" s="62"/>
    </row>
    <row r="3435" spans="22:22" x14ac:dyDescent="0.2">
      <c r="V3435" s="62"/>
    </row>
    <row r="3436" spans="22:22" x14ac:dyDescent="0.2">
      <c r="V3436" s="62"/>
    </row>
    <row r="3437" spans="22:22" x14ac:dyDescent="0.2">
      <c r="V3437" s="62"/>
    </row>
    <row r="3438" spans="22:22" x14ac:dyDescent="0.2">
      <c r="V3438" s="62"/>
    </row>
    <row r="3439" spans="22:22" x14ac:dyDescent="0.2">
      <c r="V3439" s="62"/>
    </row>
    <row r="3440" spans="22:22" x14ac:dyDescent="0.2">
      <c r="V3440" s="62"/>
    </row>
    <row r="3441" spans="22:22" x14ac:dyDescent="0.2">
      <c r="V3441" s="62"/>
    </row>
    <row r="3442" spans="22:22" x14ac:dyDescent="0.2">
      <c r="V3442" s="62"/>
    </row>
    <row r="3443" spans="22:22" x14ac:dyDescent="0.2">
      <c r="V3443" s="62"/>
    </row>
    <row r="3444" spans="22:22" x14ac:dyDescent="0.2">
      <c r="V3444" s="62"/>
    </row>
    <row r="3445" spans="22:22" x14ac:dyDescent="0.2">
      <c r="V3445" s="62"/>
    </row>
    <row r="3446" spans="22:22" x14ac:dyDescent="0.2">
      <c r="V3446" s="62"/>
    </row>
    <row r="3447" spans="22:22" x14ac:dyDescent="0.2">
      <c r="V3447" s="62"/>
    </row>
    <row r="3448" spans="22:22" x14ac:dyDescent="0.2">
      <c r="V3448" s="62"/>
    </row>
    <row r="3449" spans="22:22" x14ac:dyDescent="0.2">
      <c r="V3449" s="62"/>
    </row>
    <row r="3450" spans="22:22" x14ac:dyDescent="0.2">
      <c r="V3450" s="62"/>
    </row>
    <row r="3451" spans="22:22" x14ac:dyDescent="0.2">
      <c r="V3451" s="62"/>
    </row>
    <row r="3452" spans="22:22" x14ac:dyDescent="0.2">
      <c r="V3452" s="62"/>
    </row>
    <row r="3453" spans="22:22" x14ac:dyDescent="0.2">
      <c r="V3453" s="62"/>
    </row>
    <row r="3454" spans="22:22" x14ac:dyDescent="0.2">
      <c r="V3454" s="62"/>
    </row>
    <row r="3455" spans="22:22" x14ac:dyDescent="0.2">
      <c r="V3455" s="62"/>
    </row>
    <row r="3456" spans="22:22" x14ac:dyDescent="0.2">
      <c r="V3456" s="62"/>
    </row>
    <row r="3457" spans="22:22" x14ac:dyDescent="0.2">
      <c r="V3457" s="62"/>
    </row>
    <row r="3458" spans="22:22" x14ac:dyDescent="0.2">
      <c r="V3458" s="62"/>
    </row>
    <row r="3459" spans="22:22" x14ac:dyDescent="0.2">
      <c r="V3459" s="62"/>
    </row>
    <row r="3460" spans="22:22" x14ac:dyDescent="0.2">
      <c r="V3460" s="62"/>
    </row>
    <row r="3461" spans="22:22" x14ac:dyDescent="0.2">
      <c r="V3461" s="62"/>
    </row>
    <row r="3462" spans="22:22" x14ac:dyDescent="0.2">
      <c r="V3462" s="62"/>
    </row>
    <row r="3463" spans="22:22" x14ac:dyDescent="0.2">
      <c r="V3463" s="62"/>
    </row>
    <row r="3464" spans="22:22" x14ac:dyDescent="0.2">
      <c r="V3464" s="62"/>
    </row>
    <row r="3465" spans="22:22" x14ac:dyDescent="0.2">
      <c r="V3465" s="62"/>
    </row>
    <row r="3466" spans="22:22" x14ac:dyDescent="0.2">
      <c r="V3466" s="62"/>
    </row>
    <row r="3467" spans="22:22" x14ac:dyDescent="0.2">
      <c r="V3467" s="62"/>
    </row>
    <row r="3468" spans="22:22" x14ac:dyDescent="0.2">
      <c r="V3468" s="62"/>
    </row>
    <row r="3469" spans="22:22" x14ac:dyDescent="0.2">
      <c r="V3469" s="62"/>
    </row>
    <row r="3470" spans="22:22" x14ac:dyDescent="0.2">
      <c r="V3470" s="62"/>
    </row>
    <row r="3471" spans="22:22" x14ac:dyDescent="0.2">
      <c r="V3471" s="62"/>
    </row>
    <row r="3472" spans="22:22" x14ac:dyDescent="0.2">
      <c r="V3472" s="62"/>
    </row>
    <row r="3473" spans="22:22" x14ac:dyDescent="0.2">
      <c r="V3473" s="62"/>
    </row>
    <row r="3474" spans="22:22" x14ac:dyDescent="0.2">
      <c r="V3474" s="62"/>
    </row>
    <row r="3475" spans="22:22" x14ac:dyDescent="0.2">
      <c r="V3475" s="62"/>
    </row>
    <row r="3476" spans="22:22" x14ac:dyDescent="0.2">
      <c r="V3476" s="62"/>
    </row>
    <row r="3477" spans="22:22" x14ac:dyDescent="0.2">
      <c r="V3477" s="62"/>
    </row>
    <row r="3478" spans="22:22" x14ac:dyDescent="0.2">
      <c r="V3478" s="62"/>
    </row>
    <row r="3479" spans="22:22" x14ac:dyDescent="0.2">
      <c r="V3479" s="62"/>
    </row>
    <row r="3480" spans="22:22" x14ac:dyDescent="0.2">
      <c r="V3480" s="62"/>
    </row>
    <row r="3481" spans="22:22" x14ac:dyDescent="0.2">
      <c r="V3481" s="62"/>
    </row>
    <row r="3482" spans="22:22" x14ac:dyDescent="0.2">
      <c r="V3482" s="62"/>
    </row>
    <row r="3483" spans="22:22" x14ac:dyDescent="0.2">
      <c r="V3483" s="62"/>
    </row>
    <row r="3484" spans="22:22" x14ac:dyDescent="0.2">
      <c r="V3484" s="62"/>
    </row>
    <row r="3485" spans="22:22" x14ac:dyDescent="0.2">
      <c r="V3485" s="62"/>
    </row>
    <row r="3486" spans="22:22" x14ac:dyDescent="0.2">
      <c r="V3486" s="62"/>
    </row>
    <row r="3487" spans="22:22" x14ac:dyDescent="0.2">
      <c r="V3487" s="62"/>
    </row>
    <row r="3488" spans="22:22" x14ac:dyDescent="0.2">
      <c r="V3488" s="62"/>
    </row>
    <row r="3489" spans="22:22" x14ac:dyDescent="0.2">
      <c r="V3489" s="62"/>
    </row>
    <row r="3490" spans="22:22" x14ac:dyDescent="0.2">
      <c r="V3490" s="62"/>
    </row>
    <row r="3491" spans="22:22" x14ac:dyDescent="0.2">
      <c r="V3491" s="62"/>
    </row>
    <row r="3492" spans="22:22" x14ac:dyDescent="0.2">
      <c r="V3492" s="62"/>
    </row>
    <row r="3493" spans="22:22" x14ac:dyDescent="0.2">
      <c r="V3493" s="62"/>
    </row>
    <row r="3494" spans="22:22" x14ac:dyDescent="0.2">
      <c r="V3494" s="62"/>
    </row>
    <row r="3495" spans="22:22" x14ac:dyDescent="0.2">
      <c r="V3495" s="62"/>
    </row>
    <row r="3496" spans="22:22" x14ac:dyDescent="0.2">
      <c r="V3496" s="62"/>
    </row>
    <row r="3497" spans="22:22" x14ac:dyDescent="0.2">
      <c r="V3497" s="62"/>
    </row>
    <row r="3498" spans="22:22" x14ac:dyDescent="0.2">
      <c r="V3498" s="62"/>
    </row>
    <row r="3499" spans="22:22" x14ac:dyDescent="0.2">
      <c r="V3499" s="62"/>
    </row>
    <row r="3500" spans="22:22" x14ac:dyDescent="0.2">
      <c r="V3500" s="62"/>
    </row>
    <row r="3501" spans="22:22" x14ac:dyDescent="0.2">
      <c r="V3501" s="62"/>
    </row>
    <row r="3502" spans="22:22" x14ac:dyDescent="0.2">
      <c r="V3502" s="62"/>
    </row>
    <row r="3503" spans="22:22" x14ac:dyDescent="0.2">
      <c r="V3503" s="62"/>
    </row>
    <row r="3504" spans="22:22" x14ac:dyDescent="0.2">
      <c r="V3504" s="62"/>
    </row>
    <row r="3505" spans="22:22" x14ac:dyDescent="0.2">
      <c r="V3505" s="62"/>
    </row>
    <row r="3506" spans="22:22" x14ac:dyDescent="0.2">
      <c r="V3506" s="62"/>
    </row>
    <row r="3507" spans="22:22" x14ac:dyDescent="0.2">
      <c r="V3507" s="62"/>
    </row>
    <row r="3508" spans="22:22" x14ac:dyDescent="0.2">
      <c r="V3508" s="62"/>
    </row>
    <row r="3509" spans="22:22" x14ac:dyDescent="0.2">
      <c r="V3509" s="62"/>
    </row>
    <row r="3510" spans="22:22" x14ac:dyDescent="0.2">
      <c r="V3510" s="62"/>
    </row>
    <row r="3511" spans="22:22" x14ac:dyDescent="0.2">
      <c r="V3511" s="62"/>
    </row>
    <row r="3512" spans="22:22" x14ac:dyDescent="0.2">
      <c r="V3512" s="62"/>
    </row>
    <row r="3513" spans="22:22" x14ac:dyDescent="0.2">
      <c r="V3513" s="62"/>
    </row>
    <row r="3514" spans="22:22" x14ac:dyDescent="0.2">
      <c r="V3514" s="62"/>
    </row>
    <row r="3515" spans="22:22" x14ac:dyDescent="0.2">
      <c r="V3515" s="62"/>
    </row>
    <row r="3516" spans="22:22" x14ac:dyDescent="0.2">
      <c r="V3516" s="62"/>
    </row>
    <row r="3517" spans="22:22" x14ac:dyDescent="0.2">
      <c r="V3517" s="62"/>
    </row>
    <row r="3518" spans="22:22" x14ac:dyDescent="0.2">
      <c r="V3518" s="62"/>
    </row>
    <row r="3519" spans="22:22" x14ac:dyDescent="0.2">
      <c r="V3519" s="62"/>
    </row>
    <row r="3520" spans="22:22" x14ac:dyDescent="0.2">
      <c r="V3520" s="62"/>
    </row>
    <row r="3521" spans="22:22" x14ac:dyDescent="0.2">
      <c r="V3521" s="62"/>
    </row>
    <row r="3522" spans="22:22" x14ac:dyDescent="0.2">
      <c r="V3522" s="62"/>
    </row>
    <row r="3523" spans="22:22" x14ac:dyDescent="0.2">
      <c r="V3523" s="62"/>
    </row>
    <row r="3524" spans="22:22" x14ac:dyDescent="0.2">
      <c r="V3524" s="62"/>
    </row>
    <row r="3525" spans="22:22" x14ac:dyDescent="0.2">
      <c r="V3525" s="62"/>
    </row>
    <row r="3526" spans="22:22" x14ac:dyDescent="0.2">
      <c r="V3526" s="62"/>
    </row>
    <row r="3527" spans="22:22" x14ac:dyDescent="0.2">
      <c r="V3527" s="62"/>
    </row>
    <row r="3528" spans="22:22" x14ac:dyDescent="0.2">
      <c r="V3528" s="62"/>
    </row>
    <row r="3529" spans="22:22" x14ac:dyDescent="0.2">
      <c r="V3529" s="62"/>
    </row>
    <row r="3530" spans="22:22" x14ac:dyDescent="0.2">
      <c r="V3530" s="62"/>
    </row>
    <row r="3531" spans="22:22" x14ac:dyDescent="0.2">
      <c r="V3531" s="62"/>
    </row>
    <row r="3532" spans="22:22" x14ac:dyDescent="0.2">
      <c r="V3532" s="62"/>
    </row>
    <row r="3533" spans="22:22" x14ac:dyDescent="0.2">
      <c r="V3533" s="62"/>
    </row>
    <row r="3534" spans="22:22" x14ac:dyDescent="0.2">
      <c r="V3534" s="62"/>
    </row>
    <row r="3535" spans="22:22" x14ac:dyDescent="0.2">
      <c r="V3535" s="62"/>
    </row>
    <row r="3536" spans="22:22" x14ac:dyDescent="0.2">
      <c r="V3536" s="62"/>
    </row>
    <row r="3537" spans="22:22" x14ac:dyDescent="0.2">
      <c r="V3537" s="62"/>
    </row>
    <row r="3538" spans="22:22" x14ac:dyDescent="0.2">
      <c r="V3538" s="62"/>
    </row>
    <row r="3539" spans="22:22" x14ac:dyDescent="0.2">
      <c r="V3539" s="62"/>
    </row>
    <row r="3540" spans="22:22" x14ac:dyDescent="0.2">
      <c r="V3540" s="62"/>
    </row>
    <row r="3541" spans="22:22" x14ac:dyDescent="0.2">
      <c r="V3541" s="62"/>
    </row>
    <row r="3542" spans="22:22" x14ac:dyDescent="0.2">
      <c r="V3542" s="62"/>
    </row>
    <row r="3543" spans="22:22" x14ac:dyDescent="0.2">
      <c r="V3543" s="62"/>
    </row>
    <row r="3544" spans="22:22" x14ac:dyDescent="0.2">
      <c r="V3544" s="62"/>
    </row>
    <row r="3545" spans="22:22" x14ac:dyDescent="0.2">
      <c r="V3545" s="62"/>
    </row>
    <row r="3546" spans="22:22" x14ac:dyDescent="0.2">
      <c r="V3546" s="62"/>
    </row>
    <row r="3547" spans="22:22" x14ac:dyDescent="0.2">
      <c r="V3547" s="62"/>
    </row>
    <row r="3548" spans="22:22" x14ac:dyDescent="0.2">
      <c r="V3548" s="62"/>
    </row>
    <row r="3549" spans="22:22" x14ac:dyDescent="0.2">
      <c r="V3549" s="62"/>
    </row>
    <row r="3550" spans="22:22" x14ac:dyDescent="0.2">
      <c r="V3550" s="62"/>
    </row>
    <row r="3551" spans="22:22" x14ac:dyDescent="0.2">
      <c r="V3551" s="62"/>
    </row>
    <row r="3552" spans="22:22" x14ac:dyDescent="0.2">
      <c r="V3552" s="62"/>
    </row>
    <row r="3553" spans="22:22" x14ac:dyDescent="0.2">
      <c r="V3553" s="62"/>
    </row>
    <row r="3554" spans="22:22" x14ac:dyDescent="0.2">
      <c r="V3554" s="62"/>
    </row>
    <row r="3555" spans="22:22" x14ac:dyDescent="0.2">
      <c r="V3555" s="62"/>
    </row>
    <row r="3556" spans="22:22" x14ac:dyDescent="0.2">
      <c r="V3556" s="62"/>
    </row>
    <row r="3557" spans="22:22" x14ac:dyDescent="0.2">
      <c r="V3557" s="62"/>
    </row>
    <row r="3558" spans="22:22" x14ac:dyDescent="0.2">
      <c r="V3558" s="62"/>
    </row>
    <row r="3559" spans="22:22" x14ac:dyDescent="0.2">
      <c r="V3559" s="62"/>
    </row>
    <row r="3560" spans="22:22" x14ac:dyDescent="0.2">
      <c r="V3560" s="62"/>
    </row>
    <row r="3561" spans="22:22" x14ac:dyDescent="0.2">
      <c r="V3561" s="62"/>
    </row>
    <row r="3562" spans="22:22" x14ac:dyDescent="0.2">
      <c r="V3562" s="62"/>
    </row>
    <row r="3563" spans="22:22" x14ac:dyDescent="0.2">
      <c r="V3563" s="62"/>
    </row>
    <row r="3564" spans="22:22" x14ac:dyDescent="0.2">
      <c r="V3564" s="62"/>
    </row>
    <row r="3565" spans="22:22" x14ac:dyDescent="0.2">
      <c r="V3565" s="62"/>
    </row>
    <row r="3566" spans="22:22" x14ac:dyDescent="0.2">
      <c r="V3566" s="62"/>
    </row>
    <row r="3567" spans="22:22" x14ac:dyDescent="0.2">
      <c r="V3567" s="62"/>
    </row>
    <row r="3568" spans="22:22" x14ac:dyDescent="0.2">
      <c r="V3568" s="62"/>
    </row>
    <row r="3569" spans="22:22" x14ac:dyDescent="0.2">
      <c r="V3569" s="62"/>
    </row>
    <row r="3570" spans="22:22" x14ac:dyDescent="0.2">
      <c r="V3570" s="62"/>
    </row>
    <row r="3571" spans="22:22" x14ac:dyDescent="0.2">
      <c r="V3571" s="62"/>
    </row>
    <row r="3572" spans="22:22" x14ac:dyDescent="0.2">
      <c r="V3572" s="62"/>
    </row>
    <row r="3573" spans="22:22" x14ac:dyDescent="0.2">
      <c r="V3573" s="62"/>
    </row>
    <row r="3574" spans="22:22" x14ac:dyDescent="0.2">
      <c r="V3574" s="62"/>
    </row>
    <row r="3575" spans="22:22" x14ac:dyDescent="0.2">
      <c r="V3575" s="62"/>
    </row>
    <row r="3576" spans="22:22" x14ac:dyDescent="0.2">
      <c r="V3576" s="62"/>
    </row>
    <row r="3577" spans="22:22" x14ac:dyDescent="0.2">
      <c r="V3577" s="62"/>
    </row>
    <row r="3578" spans="22:22" x14ac:dyDescent="0.2">
      <c r="V3578" s="62"/>
    </row>
    <row r="3579" spans="22:22" x14ac:dyDescent="0.2">
      <c r="V3579" s="62"/>
    </row>
    <row r="3580" spans="22:22" x14ac:dyDescent="0.2">
      <c r="V3580" s="62"/>
    </row>
    <row r="3581" spans="22:22" x14ac:dyDescent="0.2">
      <c r="V3581" s="62"/>
    </row>
    <row r="3582" spans="22:22" x14ac:dyDescent="0.2">
      <c r="V3582" s="62"/>
    </row>
    <row r="3583" spans="22:22" x14ac:dyDescent="0.2">
      <c r="V3583" s="62"/>
    </row>
    <row r="3584" spans="22:22" x14ac:dyDescent="0.2">
      <c r="V3584" s="62"/>
    </row>
    <row r="3585" spans="22:22" x14ac:dyDescent="0.2">
      <c r="V3585" s="62"/>
    </row>
    <row r="3586" spans="22:22" x14ac:dyDescent="0.2">
      <c r="V3586" s="62"/>
    </row>
    <row r="3587" spans="22:22" x14ac:dyDescent="0.2">
      <c r="V3587" s="62"/>
    </row>
    <row r="3588" spans="22:22" x14ac:dyDescent="0.2">
      <c r="V3588" s="62"/>
    </row>
    <row r="3589" spans="22:22" x14ac:dyDescent="0.2">
      <c r="V3589" s="62"/>
    </row>
    <row r="3590" spans="22:22" x14ac:dyDescent="0.2">
      <c r="V3590" s="62"/>
    </row>
    <row r="3591" spans="22:22" x14ac:dyDescent="0.2">
      <c r="V3591" s="62"/>
    </row>
    <row r="3592" spans="22:22" x14ac:dyDescent="0.2">
      <c r="V3592" s="62"/>
    </row>
    <row r="3593" spans="22:22" x14ac:dyDescent="0.2">
      <c r="V3593" s="62"/>
    </row>
    <row r="3594" spans="22:22" x14ac:dyDescent="0.2">
      <c r="V3594" s="62"/>
    </row>
    <row r="3595" spans="22:22" x14ac:dyDescent="0.2">
      <c r="V3595" s="62"/>
    </row>
    <row r="3596" spans="22:22" x14ac:dyDescent="0.2">
      <c r="V3596" s="62"/>
    </row>
    <row r="3597" spans="22:22" x14ac:dyDescent="0.2">
      <c r="V3597" s="62"/>
    </row>
    <row r="3598" spans="22:22" x14ac:dyDescent="0.2">
      <c r="V3598" s="62"/>
    </row>
    <row r="3599" spans="22:22" x14ac:dyDescent="0.2">
      <c r="V3599" s="62"/>
    </row>
    <row r="3600" spans="22:22" x14ac:dyDescent="0.2">
      <c r="V3600" s="62"/>
    </row>
    <row r="3601" spans="22:22" x14ac:dyDescent="0.2">
      <c r="V3601" s="62"/>
    </row>
    <row r="3602" spans="22:22" x14ac:dyDescent="0.2">
      <c r="V3602" s="62"/>
    </row>
    <row r="3603" spans="22:22" x14ac:dyDescent="0.2">
      <c r="V3603" s="62"/>
    </row>
    <row r="3604" spans="22:22" x14ac:dyDescent="0.2">
      <c r="V3604" s="62"/>
    </row>
    <row r="3605" spans="22:22" x14ac:dyDescent="0.2">
      <c r="V3605" s="62"/>
    </row>
    <row r="3606" spans="22:22" x14ac:dyDescent="0.2">
      <c r="V3606" s="62"/>
    </row>
    <row r="3607" spans="22:22" x14ac:dyDescent="0.2">
      <c r="V3607" s="62"/>
    </row>
    <row r="3608" spans="22:22" x14ac:dyDescent="0.2">
      <c r="V3608" s="62"/>
    </row>
    <row r="3609" spans="22:22" x14ac:dyDescent="0.2">
      <c r="V3609" s="62"/>
    </row>
    <row r="3610" spans="22:22" x14ac:dyDescent="0.2">
      <c r="V3610" s="62"/>
    </row>
    <row r="3611" spans="22:22" x14ac:dyDescent="0.2">
      <c r="V3611" s="62"/>
    </row>
    <row r="3612" spans="22:22" x14ac:dyDescent="0.2">
      <c r="V3612" s="62"/>
    </row>
    <row r="3613" spans="22:22" x14ac:dyDescent="0.2">
      <c r="V3613" s="62"/>
    </row>
    <row r="3614" spans="22:22" x14ac:dyDescent="0.2">
      <c r="V3614" s="62"/>
    </row>
    <row r="3615" spans="22:22" x14ac:dyDescent="0.2">
      <c r="V3615" s="62"/>
    </row>
    <row r="3616" spans="22:22" x14ac:dyDescent="0.2">
      <c r="V3616" s="62"/>
    </row>
    <row r="3617" spans="22:22" x14ac:dyDescent="0.2">
      <c r="V3617" s="62"/>
    </row>
    <row r="3618" spans="22:22" x14ac:dyDescent="0.2">
      <c r="V3618" s="62"/>
    </row>
    <row r="3619" spans="22:22" x14ac:dyDescent="0.2">
      <c r="V3619" s="62"/>
    </row>
    <row r="3620" spans="22:22" x14ac:dyDescent="0.2">
      <c r="V3620" s="62"/>
    </row>
    <row r="3621" spans="22:22" x14ac:dyDescent="0.2">
      <c r="V3621" s="62"/>
    </row>
    <row r="3622" spans="22:22" x14ac:dyDescent="0.2">
      <c r="V3622" s="62"/>
    </row>
    <row r="3623" spans="22:22" x14ac:dyDescent="0.2">
      <c r="V3623" s="62"/>
    </row>
    <row r="3624" spans="22:22" x14ac:dyDescent="0.2">
      <c r="V3624" s="62"/>
    </row>
    <row r="3625" spans="22:22" x14ac:dyDescent="0.2">
      <c r="V3625" s="62"/>
    </row>
    <row r="3626" spans="22:22" x14ac:dyDescent="0.2">
      <c r="V3626" s="62"/>
    </row>
    <row r="3627" spans="22:22" x14ac:dyDescent="0.2">
      <c r="V3627" s="62"/>
    </row>
    <row r="3628" spans="22:22" x14ac:dyDescent="0.2">
      <c r="V3628" s="62"/>
    </row>
    <row r="3629" spans="22:22" x14ac:dyDescent="0.2">
      <c r="V3629" s="62"/>
    </row>
    <row r="3630" spans="22:22" x14ac:dyDescent="0.2">
      <c r="V3630" s="62"/>
    </row>
    <row r="3631" spans="22:22" x14ac:dyDescent="0.2">
      <c r="V3631" s="62"/>
    </row>
    <row r="3632" spans="22:22" x14ac:dyDescent="0.2">
      <c r="V3632" s="62"/>
    </row>
    <row r="3633" spans="22:22" x14ac:dyDescent="0.2">
      <c r="V3633" s="62"/>
    </row>
    <row r="3634" spans="22:22" x14ac:dyDescent="0.2">
      <c r="V3634" s="62"/>
    </row>
    <row r="3635" spans="22:22" x14ac:dyDescent="0.2">
      <c r="V3635" s="62"/>
    </row>
    <row r="3636" spans="22:22" x14ac:dyDescent="0.2">
      <c r="V3636" s="62"/>
    </row>
    <row r="3637" spans="22:22" x14ac:dyDescent="0.2">
      <c r="V3637" s="62"/>
    </row>
    <row r="3638" spans="22:22" x14ac:dyDescent="0.2">
      <c r="V3638" s="62"/>
    </row>
    <row r="3639" spans="22:22" x14ac:dyDescent="0.2">
      <c r="V3639" s="62"/>
    </row>
    <row r="3640" spans="22:22" x14ac:dyDescent="0.2">
      <c r="V3640" s="62"/>
    </row>
    <row r="3641" spans="22:22" x14ac:dyDescent="0.2">
      <c r="V3641" s="62"/>
    </row>
    <row r="3642" spans="22:22" x14ac:dyDescent="0.2">
      <c r="V3642" s="62"/>
    </row>
    <row r="3643" spans="22:22" x14ac:dyDescent="0.2">
      <c r="V3643" s="62"/>
    </row>
    <row r="3644" spans="22:22" x14ac:dyDescent="0.2">
      <c r="V3644" s="62"/>
    </row>
    <row r="3645" spans="22:22" x14ac:dyDescent="0.2">
      <c r="V3645" s="62"/>
    </row>
    <row r="3646" spans="22:22" x14ac:dyDescent="0.2">
      <c r="V3646" s="62"/>
    </row>
    <row r="3647" spans="22:22" x14ac:dyDescent="0.2">
      <c r="V3647" s="62"/>
    </row>
    <row r="3648" spans="22:22" x14ac:dyDescent="0.2">
      <c r="V3648" s="62"/>
    </row>
    <row r="3649" spans="22:22" x14ac:dyDescent="0.2">
      <c r="V3649" s="62"/>
    </row>
    <row r="3650" spans="22:22" x14ac:dyDescent="0.2">
      <c r="V3650" s="62"/>
    </row>
    <row r="3651" spans="22:22" x14ac:dyDescent="0.2">
      <c r="V3651" s="62"/>
    </row>
    <row r="3652" spans="22:22" x14ac:dyDescent="0.2">
      <c r="V3652" s="62"/>
    </row>
    <row r="3653" spans="22:22" x14ac:dyDescent="0.2">
      <c r="V3653" s="62"/>
    </row>
    <row r="3654" spans="22:22" x14ac:dyDescent="0.2">
      <c r="V3654" s="62"/>
    </row>
    <row r="3655" spans="22:22" x14ac:dyDescent="0.2">
      <c r="V3655" s="62"/>
    </row>
    <row r="3656" spans="22:22" x14ac:dyDescent="0.2">
      <c r="V3656" s="62"/>
    </row>
    <row r="3657" spans="22:22" x14ac:dyDescent="0.2">
      <c r="V3657" s="62"/>
    </row>
    <row r="3658" spans="22:22" x14ac:dyDescent="0.2">
      <c r="V3658" s="62"/>
    </row>
    <row r="3659" spans="22:22" x14ac:dyDescent="0.2">
      <c r="V3659" s="62"/>
    </row>
    <row r="3660" spans="22:22" x14ac:dyDescent="0.2">
      <c r="V3660" s="62"/>
    </row>
    <row r="3661" spans="22:22" x14ac:dyDescent="0.2">
      <c r="V3661" s="62"/>
    </row>
    <row r="3662" spans="22:22" x14ac:dyDescent="0.2">
      <c r="V3662" s="62"/>
    </row>
    <row r="3663" spans="22:22" x14ac:dyDescent="0.2">
      <c r="V3663" s="62"/>
    </row>
    <row r="3664" spans="22:22" x14ac:dyDescent="0.2">
      <c r="V3664" s="62"/>
    </row>
    <row r="3665" spans="22:22" x14ac:dyDescent="0.2">
      <c r="V3665" s="62"/>
    </row>
    <row r="3666" spans="22:22" x14ac:dyDescent="0.2">
      <c r="V3666" s="62"/>
    </row>
    <row r="3667" spans="22:22" x14ac:dyDescent="0.2">
      <c r="V3667" s="62"/>
    </row>
    <row r="3668" spans="22:22" x14ac:dyDescent="0.2">
      <c r="V3668" s="62"/>
    </row>
    <row r="3669" spans="22:22" x14ac:dyDescent="0.2">
      <c r="V3669" s="62"/>
    </row>
    <row r="3670" spans="22:22" x14ac:dyDescent="0.2">
      <c r="V3670" s="62"/>
    </row>
    <row r="3671" spans="22:22" x14ac:dyDescent="0.2">
      <c r="V3671" s="62"/>
    </row>
    <row r="3672" spans="22:22" x14ac:dyDescent="0.2">
      <c r="V3672" s="62"/>
    </row>
    <row r="3673" spans="22:22" x14ac:dyDescent="0.2">
      <c r="V3673" s="62"/>
    </row>
    <row r="3674" spans="22:22" x14ac:dyDescent="0.2">
      <c r="V3674" s="62"/>
    </row>
    <row r="3675" spans="22:22" x14ac:dyDescent="0.2">
      <c r="V3675" s="62"/>
    </row>
    <row r="3676" spans="22:22" x14ac:dyDescent="0.2">
      <c r="V3676" s="62"/>
    </row>
    <row r="3677" spans="22:22" x14ac:dyDescent="0.2">
      <c r="V3677" s="62"/>
    </row>
    <row r="3678" spans="22:22" x14ac:dyDescent="0.2">
      <c r="V3678" s="62"/>
    </row>
    <row r="3679" spans="22:22" x14ac:dyDescent="0.2">
      <c r="V3679" s="62"/>
    </row>
    <row r="3680" spans="22:22" x14ac:dyDescent="0.2">
      <c r="V3680" s="62"/>
    </row>
    <row r="3681" spans="22:22" x14ac:dyDescent="0.2">
      <c r="V3681" s="62"/>
    </row>
    <row r="3682" spans="22:22" x14ac:dyDescent="0.2">
      <c r="V3682" s="62"/>
    </row>
    <row r="3683" spans="22:22" x14ac:dyDescent="0.2">
      <c r="V3683" s="62"/>
    </row>
    <row r="3684" spans="22:22" x14ac:dyDescent="0.2">
      <c r="V3684" s="62"/>
    </row>
    <row r="3685" spans="22:22" x14ac:dyDescent="0.2">
      <c r="V3685" s="62"/>
    </row>
    <row r="3686" spans="22:22" x14ac:dyDescent="0.2">
      <c r="V3686" s="62"/>
    </row>
    <row r="3687" spans="22:22" x14ac:dyDescent="0.2">
      <c r="V3687" s="62"/>
    </row>
    <row r="3688" spans="22:22" x14ac:dyDescent="0.2">
      <c r="V3688" s="62"/>
    </row>
    <row r="3689" spans="22:22" x14ac:dyDescent="0.2">
      <c r="V3689" s="62"/>
    </row>
    <row r="3690" spans="22:22" x14ac:dyDescent="0.2">
      <c r="V3690" s="62"/>
    </row>
    <row r="3691" spans="22:22" x14ac:dyDescent="0.2">
      <c r="V3691" s="62"/>
    </row>
    <row r="3692" spans="22:22" x14ac:dyDescent="0.2">
      <c r="V3692" s="62"/>
    </row>
    <row r="3693" spans="22:22" x14ac:dyDescent="0.2">
      <c r="V3693" s="62"/>
    </row>
    <row r="3694" spans="22:22" x14ac:dyDescent="0.2">
      <c r="V3694" s="62"/>
    </row>
    <row r="3695" spans="22:22" x14ac:dyDescent="0.2">
      <c r="V3695" s="62"/>
    </row>
    <row r="3696" spans="22:22" x14ac:dyDescent="0.2">
      <c r="V3696" s="62"/>
    </row>
    <row r="3697" spans="22:22" x14ac:dyDescent="0.2">
      <c r="V3697" s="62"/>
    </row>
    <row r="3698" spans="22:22" x14ac:dyDescent="0.2">
      <c r="V3698" s="62"/>
    </row>
    <row r="3699" spans="22:22" x14ac:dyDescent="0.2">
      <c r="V3699" s="62"/>
    </row>
    <row r="3700" spans="22:22" x14ac:dyDescent="0.2">
      <c r="V3700" s="62"/>
    </row>
    <row r="3701" spans="22:22" x14ac:dyDescent="0.2">
      <c r="V3701" s="62"/>
    </row>
    <row r="3702" spans="22:22" x14ac:dyDescent="0.2">
      <c r="V3702" s="62"/>
    </row>
    <row r="3703" spans="22:22" x14ac:dyDescent="0.2">
      <c r="V3703" s="62"/>
    </row>
    <row r="3704" spans="22:22" x14ac:dyDescent="0.2">
      <c r="V3704" s="62"/>
    </row>
    <row r="3705" spans="22:22" x14ac:dyDescent="0.2">
      <c r="V3705" s="62"/>
    </row>
    <row r="3706" spans="22:22" x14ac:dyDescent="0.2">
      <c r="V3706" s="62"/>
    </row>
    <row r="3707" spans="22:22" x14ac:dyDescent="0.2">
      <c r="V3707" s="62"/>
    </row>
    <row r="3708" spans="22:22" x14ac:dyDescent="0.2">
      <c r="V3708" s="62"/>
    </row>
    <row r="3709" spans="22:22" x14ac:dyDescent="0.2">
      <c r="V3709" s="62"/>
    </row>
    <row r="3710" spans="22:22" x14ac:dyDescent="0.2">
      <c r="V3710" s="62"/>
    </row>
    <row r="3711" spans="22:22" x14ac:dyDescent="0.2">
      <c r="V3711" s="62"/>
    </row>
    <row r="3712" spans="22:22" x14ac:dyDescent="0.2">
      <c r="V3712" s="62"/>
    </row>
    <row r="3713" spans="22:22" x14ac:dyDescent="0.2">
      <c r="V3713" s="62"/>
    </row>
    <row r="3714" spans="22:22" x14ac:dyDescent="0.2">
      <c r="V3714" s="62"/>
    </row>
    <row r="3715" spans="22:22" x14ac:dyDescent="0.2">
      <c r="V3715" s="62"/>
    </row>
    <row r="3716" spans="22:22" x14ac:dyDescent="0.2">
      <c r="V3716" s="62"/>
    </row>
    <row r="3717" spans="22:22" x14ac:dyDescent="0.2">
      <c r="V3717" s="62"/>
    </row>
    <row r="3718" spans="22:22" x14ac:dyDescent="0.2">
      <c r="V3718" s="62"/>
    </row>
    <row r="3719" spans="22:22" x14ac:dyDescent="0.2">
      <c r="V3719" s="62"/>
    </row>
    <row r="3720" spans="22:22" x14ac:dyDescent="0.2">
      <c r="V3720" s="62"/>
    </row>
    <row r="3721" spans="22:22" x14ac:dyDescent="0.2">
      <c r="V3721" s="62"/>
    </row>
    <row r="3722" spans="22:22" x14ac:dyDescent="0.2">
      <c r="V3722" s="62"/>
    </row>
    <row r="3723" spans="22:22" x14ac:dyDescent="0.2">
      <c r="V3723" s="62"/>
    </row>
    <row r="3724" spans="22:22" x14ac:dyDescent="0.2">
      <c r="V3724" s="62"/>
    </row>
    <row r="3725" spans="22:22" x14ac:dyDescent="0.2">
      <c r="V3725" s="62"/>
    </row>
    <row r="3726" spans="22:22" x14ac:dyDescent="0.2">
      <c r="V3726" s="62"/>
    </row>
    <row r="3727" spans="22:22" x14ac:dyDescent="0.2">
      <c r="V3727" s="62"/>
    </row>
    <row r="3728" spans="22:22" x14ac:dyDescent="0.2">
      <c r="V3728" s="62"/>
    </row>
    <row r="3729" spans="22:22" x14ac:dyDescent="0.2">
      <c r="V3729" s="62"/>
    </row>
    <row r="3730" spans="22:22" x14ac:dyDescent="0.2">
      <c r="V3730" s="62"/>
    </row>
    <row r="3731" spans="22:22" x14ac:dyDescent="0.2">
      <c r="V3731" s="62"/>
    </row>
    <row r="3732" spans="22:22" x14ac:dyDescent="0.2">
      <c r="V3732" s="62"/>
    </row>
    <row r="3733" spans="22:22" x14ac:dyDescent="0.2">
      <c r="V3733" s="62"/>
    </row>
    <row r="3734" spans="22:22" x14ac:dyDescent="0.2">
      <c r="V3734" s="62"/>
    </row>
    <row r="3735" spans="22:22" x14ac:dyDescent="0.2">
      <c r="V3735" s="62"/>
    </row>
    <row r="3736" spans="22:22" x14ac:dyDescent="0.2">
      <c r="V3736" s="62"/>
    </row>
    <row r="3737" spans="22:22" x14ac:dyDescent="0.2">
      <c r="V3737" s="62"/>
    </row>
    <row r="3738" spans="22:22" x14ac:dyDescent="0.2">
      <c r="V3738" s="62"/>
    </row>
    <row r="3739" spans="22:22" x14ac:dyDescent="0.2">
      <c r="V3739" s="62"/>
    </row>
    <row r="3740" spans="22:22" x14ac:dyDescent="0.2">
      <c r="V3740" s="62"/>
    </row>
    <row r="3741" spans="22:22" x14ac:dyDescent="0.2">
      <c r="V3741" s="62"/>
    </row>
    <row r="3742" spans="22:22" x14ac:dyDescent="0.2">
      <c r="V3742" s="62"/>
    </row>
    <row r="3743" spans="22:22" x14ac:dyDescent="0.2">
      <c r="V3743" s="62"/>
    </row>
    <row r="3744" spans="22:22" x14ac:dyDescent="0.2">
      <c r="V3744" s="62"/>
    </row>
    <row r="3745" spans="22:22" x14ac:dyDescent="0.2">
      <c r="V3745" s="62"/>
    </row>
    <row r="3746" spans="22:22" x14ac:dyDescent="0.2">
      <c r="V3746" s="62"/>
    </row>
    <row r="3747" spans="22:22" x14ac:dyDescent="0.2">
      <c r="V3747" s="62"/>
    </row>
    <row r="3748" spans="22:22" x14ac:dyDescent="0.2">
      <c r="V3748" s="62"/>
    </row>
    <row r="3749" spans="22:22" x14ac:dyDescent="0.2">
      <c r="V3749" s="62"/>
    </row>
    <row r="3750" spans="22:22" x14ac:dyDescent="0.2">
      <c r="V3750" s="62"/>
    </row>
    <row r="3751" spans="22:22" x14ac:dyDescent="0.2">
      <c r="V3751" s="62"/>
    </row>
    <row r="3752" spans="22:22" x14ac:dyDescent="0.2">
      <c r="V3752" s="62"/>
    </row>
    <row r="3753" spans="22:22" x14ac:dyDescent="0.2">
      <c r="V3753" s="62"/>
    </row>
    <row r="3754" spans="22:22" x14ac:dyDescent="0.2">
      <c r="V3754" s="62"/>
    </row>
    <row r="3755" spans="22:22" x14ac:dyDescent="0.2">
      <c r="V3755" s="62"/>
    </row>
    <row r="3756" spans="22:22" x14ac:dyDescent="0.2">
      <c r="V3756" s="62"/>
    </row>
    <row r="3757" spans="22:22" x14ac:dyDescent="0.2">
      <c r="V3757" s="62"/>
    </row>
    <row r="3758" spans="22:22" x14ac:dyDescent="0.2">
      <c r="V3758" s="62"/>
    </row>
    <row r="3759" spans="22:22" x14ac:dyDescent="0.2">
      <c r="V3759" s="62"/>
    </row>
    <row r="3760" spans="22:22" x14ac:dyDescent="0.2">
      <c r="V3760" s="62"/>
    </row>
    <row r="3761" spans="22:22" x14ac:dyDescent="0.2">
      <c r="V3761" s="62"/>
    </row>
    <row r="3762" spans="22:22" x14ac:dyDescent="0.2">
      <c r="V3762" s="62"/>
    </row>
    <row r="3763" spans="22:22" x14ac:dyDescent="0.2">
      <c r="V3763" s="62"/>
    </row>
    <row r="3764" spans="22:22" x14ac:dyDescent="0.2">
      <c r="V3764" s="62"/>
    </row>
    <row r="3765" spans="22:22" x14ac:dyDescent="0.2">
      <c r="V3765" s="62"/>
    </row>
    <row r="3766" spans="22:22" x14ac:dyDescent="0.2">
      <c r="V3766" s="62"/>
    </row>
    <row r="3767" spans="22:22" x14ac:dyDescent="0.2">
      <c r="V3767" s="62"/>
    </row>
    <row r="3768" spans="22:22" x14ac:dyDescent="0.2">
      <c r="V3768" s="62"/>
    </row>
    <row r="3769" spans="22:22" x14ac:dyDescent="0.2">
      <c r="V3769" s="62"/>
    </row>
    <row r="3770" spans="22:22" x14ac:dyDescent="0.2">
      <c r="V3770" s="62"/>
    </row>
    <row r="3771" spans="22:22" x14ac:dyDescent="0.2">
      <c r="V3771" s="62"/>
    </row>
    <row r="3772" spans="22:22" x14ac:dyDescent="0.2">
      <c r="V3772" s="62"/>
    </row>
    <row r="3773" spans="22:22" x14ac:dyDescent="0.2">
      <c r="V3773" s="62"/>
    </row>
    <row r="3774" spans="22:22" x14ac:dyDescent="0.2">
      <c r="V3774" s="62"/>
    </row>
    <row r="3775" spans="22:22" x14ac:dyDescent="0.2">
      <c r="V3775" s="62"/>
    </row>
    <row r="3776" spans="22:22" x14ac:dyDescent="0.2">
      <c r="V3776" s="62"/>
    </row>
    <row r="3777" spans="22:22" x14ac:dyDescent="0.2">
      <c r="V3777" s="62"/>
    </row>
    <row r="3778" spans="22:22" x14ac:dyDescent="0.2">
      <c r="V3778" s="62"/>
    </row>
    <row r="3779" spans="22:22" x14ac:dyDescent="0.2">
      <c r="V3779" s="62"/>
    </row>
    <row r="3780" spans="22:22" x14ac:dyDescent="0.2">
      <c r="V3780" s="62"/>
    </row>
    <row r="3781" spans="22:22" x14ac:dyDescent="0.2">
      <c r="V3781" s="62"/>
    </row>
    <row r="3782" spans="22:22" x14ac:dyDescent="0.2">
      <c r="V3782" s="62"/>
    </row>
    <row r="3783" spans="22:22" x14ac:dyDescent="0.2">
      <c r="V3783" s="62"/>
    </row>
    <row r="3784" spans="22:22" x14ac:dyDescent="0.2">
      <c r="V3784" s="62"/>
    </row>
    <row r="3785" spans="22:22" x14ac:dyDescent="0.2">
      <c r="V3785" s="62"/>
    </row>
    <row r="3786" spans="22:22" x14ac:dyDescent="0.2">
      <c r="V3786" s="62"/>
    </row>
    <row r="3787" spans="22:22" x14ac:dyDescent="0.2">
      <c r="V3787" s="62"/>
    </row>
    <row r="3788" spans="22:22" x14ac:dyDescent="0.2">
      <c r="V3788" s="62"/>
    </row>
    <row r="3789" spans="22:22" x14ac:dyDescent="0.2">
      <c r="V3789" s="62"/>
    </row>
    <row r="3790" spans="22:22" x14ac:dyDescent="0.2">
      <c r="V3790" s="62"/>
    </row>
    <row r="3791" spans="22:22" x14ac:dyDescent="0.2">
      <c r="V3791" s="62"/>
    </row>
    <row r="3792" spans="22:22" x14ac:dyDescent="0.2">
      <c r="V3792" s="62"/>
    </row>
    <row r="3793" spans="22:22" x14ac:dyDescent="0.2">
      <c r="V3793" s="62"/>
    </row>
    <row r="3794" spans="22:22" x14ac:dyDescent="0.2">
      <c r="V3794" s="62"/>
    </row>
    <row r="3795" spans="22:22" x14ac:dyDescent="0.2">
      <c r="V3795" s="62"/>
    </row>
    <row r="3796" spans="22:22" x14ac:dyDescent="0.2">
      <c r="V3796" s="62"/>
    </row>
    <row r="3797" spans="22:22" x14ac:dyDescent="0.2">
      <c r="V3797" s="62"/>
    </row>
    <row r="3798" spans="22:22" x14ac:dyDescent="0.2">
      <c r="V3798" s="62"/>
    </row>
    <row r="3799" spans="22:22" x14ac:dyDescent="0.2">
      <c r="V3799" s="62"/>
    </row>
  </sheetData>
  <autoFilter ref="A2:B3799" xr:uid="{00000000-0009-0000-0000-000003000000}"/>
  <sortState xmlns:xlrd2="http://schemas.microsoft.com/office/spreadsheetml/2017/richdata2" ref="A3:AJ65536">
    <sortCondition ref="A3:A65536"/>
    <sortCondition ref="B3:B65536"/>
  </sortState>
  <dataConsolidate/>
  <mergeCells count="1">
    <mergeCell ref="R1:AF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390525</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15</xdr:col>
                    <xdr:colOff>666750</xdr:colOff>
                    <xdr:row>0</xdr:row>
                    <xdr:rowOff>28575</xdr:rowOff>
                  </from>
                  <to>
                    <xdr:col>16</xdr:col>
                    <xdr:colOff>876300</xdr:colOff>
                    <xdr:row>0</xdr:row>
                    <xdr:rowOff>381000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3EBDE-1200-4893-95AB-30BC15AC0396}">
  <sheetPr codeName="Feuil5"/>
  <dimension ref="A1:I55"/>
  <sheetViews>
    <sheetView workbookViewId="0">
      <selection activeCell="U36" sqref="U36"/>
    </sheetView>
  </sheetViews>
  <sheetFormatPr baseColWidth="10" defaultRowHeight="12.75" x14ac:dyDescent="0.2"/>
  <cols>
    <col min="2" max="2" width="17.7109375" style="105" bestFit="1" customWidth="1"/>
    <col min="4" max="4" width="20.28515625" style="107" bestFit="1" customWidth="1"/>
  </cols>
  <sheetData>
    <row r="1" spans="1:9" x14ac:dyDescent="0.2">
      <c r="A1" s="2" t="s">
        <v>59</v>
      </c>
      <c r="B1" s="11" t="s">
        <v>63</v>
      </c>
      <c r="C1" s="3" t="s">
        <v>60</v>
      </c>
      <c r="D1" s="106" t="s">
        <v>62</v>
      </c>
      <c r="E1" s="100" t="s">
        <v>61</v>
      </c>
      <c r="F1" s="4">
        <f>MAX(B1:B10000)</f>
        <v>0</v>
      </c>
      <c r="G1" s="5" t="s">
        <v>2</v>
      </c>
    </row>
    <row r="3" spans="1:9" x14ac:dyDescent="0.2">
      <c r="E3" s="101" t="s">
        <v>2</v>
      </c>
      <c r="F3" s="7" t="s">
        <v>53</v>
      </c>
      <c r="G3" s="8" t="s">
        <v>0</v>
      </c>
      <c r="H3" s="8" t="s">
        <v>55</v>
      </c>
      <c r="I3" s="8" t="s">
        <v>1</v>
      </c>
    </row>
    <row r="4" spans="1:9" x14ac:dyDescent="0.2">
      <c r="E4" s="102" t="s">
        <v>3</v>
      </c>
      <c r="F4" s="13">
        <v>0</v>
      </c>
      <c r="G4" s="14" t="e">
        <f t="shared" ref="G4:G53" si="0">F4/$F$55*100</f>
        <v>#DIV/0!</v>
      </c>
      <c r="H4" s="14">
        <v>0</v>
      </c>
      <c r="I4" s="14" t="e">
        <f t="shared" ref="I4:I53" si="1">H4/$H$55*100</f>
        <v>#DIV/0!</v>
      </c>
    </row>
    <row r="5" spans="1:9" x14ac:dyDescent="0.2">
      <c r="E5" s="102" t="s">
        <v>4</v>
      </c>
      <c r="F5" s="13">
        <v>0</v>
      </c>
      <c r="G5" s="14" t="e">
        <f t="shared" si="0"/>
        <v>#DIV/0!</v>
      </c>
      <c r="H5" s="14">
        <v>0</v>
      </c>
      <c r="I5" s="14" t="e">
        <f t="shared" si="1"/>
        <v>#DIV/0!</v>
      </c>
    </row>
    <row r="6" spans="1:9" x14ac:dyDescent="0.2">
      <c r="E6" s="102" t="s">
        <v>5</v>
      </c>
      <c r="F6" s="13">
        <v>0</v>
      </c>
      <c r="G6" s="14" t="e">
        <f t="shared" si="0"/>
        <v>#DIV/0!</v>
      </c>
      <c r="H6" s="14">
        <v>0</v>
      </c>
      <c r="I6" s="14" t="e">
        <f t="shared" si="1"/>
        <v>#DIV/0!</v>
      </c>
    </row>
    <row r="7" spans="1:9" x14ac:dyDescent="0.2">
      <c r="E7" s="102" t="s">
        <v>6</v>
      </c>
      <c r="F7" s="13">
        <v>0</v>
      </c>
      <c r="G7" s="14" t="e">
        <f t="shared" si="0"/>
        <v>#DIV/0!</v>
      </c>
      <c r="H7" s="14">
        <v>0</v>
      </c>
      <c r="I7" s="14" t="e">
        <f t="shared" si="1"/>
        <v>#DIV/0!</v>
      </c>
    </row>
    <row r="8" spans="1:9" x14ac:dyDescent="0.2">
      <c r="E8" s="102" t="s">
        <v>7</v>
      </c>
      <c r="F8" s="13">
        <v>0</v>
      </c>
      <c r="G8" s="14" t="e">
        <f t="shared" si="0"/>
        <v>#DIV/0!</v>
      </c>
      <c r="H8" s="14">
        <v>0</v>
      </c>
      <c r="I8" s="14" t="e">
        <f t="shared" si="1"/>
        <v>#DIV/0!</v>
      </c>
    </row>
    <row r="9" spans="1:9" x14ac:dyDescent="0.2">
      <c r="E9" s="102" t="s">
        <v>8</v>
      </c>
      <c r="F9" s="13">
        <v>0</v>
      </c>
      <c r="G9" s="14" t="e">
        <f t="shared" si="0"/>
        <v>#DIV/0!</v>
      </c>
      <c r="H9" s="14">
        <v>0</v>
      </c>
      <c r="I9" s="14" t="e">
        <f t="shared" si="1"/>
        <v>#DIV/0!</v>
      </c>
    </row>
    <row r="10" spans="1:9" x14ac:dyDescent="0.2">
      <c r="E10" s="102" t="s">
        <v>9</v>
      </c>
      <c r="F10" s="13">
        <v>0</v>
      </c>
      <c r="G10" s="14" t="e">
        <f t="shared" si="0"/>
        <v>#DIV/0!</v>
      </c>
      <c r="H10" s="14">
        <v>0</v>
      </c>
      <c r="I10" s="14" t="e">
        <f t="shared" si="1"/>
        <v>#DIV/0!</v>
      </c>
    </row>
    <row r="11" spans="1:9" x14ac:dyDescent="0.2">
      <c r="E11" s="102" t="s">
        <v>10</v>
      </c>
      <c r="F11" s="13">
        <v>0</v>
      </c>
      <c r="G11" s="14" t="e">
        <f t="shared" si="0"/>
        <v>#DIV/0!</v>
      </c>
      <c r="H11" s="14">
        <v>0</v>
      </c>
      <c r="I11" s="14" t="e">
        <f t="shared" si="1"/>
        <v>#DIV/0!</v>
      </c>
    </row>
    <row r="12" spans="1:9" x14ac:dyDescent="0.2">
      <c r="E12" s="102" t="s">
        <v>11</v>
      </c>
      <c r="F12" s="13">
        <v>0</v>
      </c>
      <c r="G12" s="14" t="e">
        <f t="shared" si="0"/>
        <v>#DIV/0!</v>
      </c>
      <c r="H12" s="14">
        <v>0</v>
      </c>
      <c r="I12" s="14" t="e">
        <f t="shared" si="1"/>
        <v>#DIV/0!</v>
      </c>
    </row>
    <row r="13" spans="1:9" x14ac:dyDescent="0.2">
      <c r="E13" s="102" t="s">
        <v>12</v>
      </c>
      <c r="F13" s="13">
        <v>0</v>
      </c>
      <c r="G13" s="14" t="e">
        <f t="shared" si="0"/>
        <v>#DIV/0!</v>
      </c>
      <c r="H13" s="14">
        <v>0</v>
      </c>
      <c r="I13" s="14" t="e">
        <f t="shared" si="1"/>
        <v>#DIV/0!</v>
      </c>
    </row>
    <row r="14" spans="1:9" x14ac:dyDescent="0.2">
      <c r="E14" s="102" t="s">
        <v>13</v>
      </c>
      <c r="F14" s="13">
        <v>0</v>
      </c>
      <c r="G14" s="14" t="e">
        <f t="shared" si="0"/>
        <v>#DIV/0!</v>
      </c>
      <c r="H14" s="14">
        <v>0</v>
      </c>
      <c r="I14" s="14" t="e">
        <f t="shared" si="1"/>
        <v>#DIV/0!</v>
      </c>
    </row>
    <row r="15" spans="1:9" x14ac:dyDescent="0.2">
      <c r="E15" s="102" t="s">
        <v>14</v>
      </c>
      <c r="F15" s="13">
        <v>0</v>
      </c>
      <c r="G15" s="14" t="e">
        <f t="shared" si="0"/>
        <v>#DIV/0!</v>
      </c>
      <c r="H15" s="14">
        <v>0</v>
      </c>
      <c r="I15" s="14" t="e">
        <f t="shared" si="1"/>
        <v>#DIV/0!</v>
      </c>
    </row>
    <row r="16" spans="1:9" x14ac:dyDescent="0.2">
      <c r="E16" s="102" t="s">
        <v>15</v>
      </c>
      <c r="F16" s="13">
        <v>0</v>
      </c>
      <c r="G16" s="14" t="e">
        <f t="shared" si="0"/>
        <v>#DIV/0!</v>
      </c>
      <c r="H16" s="14">
        <v>0</v>
      </c>
      <c r="I16" s="14" t="e">
        <f t="shared" si="1"/>
        <v>#DIV/0!</v>
      </c>
    </row>
    <row r="17" spans="5:9" x14ac:dyDescent="0.2">
      <c r="E17" s="102" t="s">
        <v>16</v>
      </c>
      <c r="F17" s="13">
        <v>0</v>
      </c>
      <c r="G17" s="14" t="e">
        <f t="shared" si="0"/>
        <v>#DIV/0!</v>
      </c>
      <c r="H17" s="14">
        <v>0</v>
      </c>
      <c r="I17" s="14" t="e">
        <f t="shared" si="1"/>
        <v>#DIV/0!</v>
      </c>
    </row>
    <row r="18" spans="5:9" x14ac:dyDescent="0.2">
      <c r="E18" s="102" t="s">
        <v>17</v>
      </c>
      <c r="F18" s="13">
        <v>0</v>
      </c>
      <c r="G18" s="14" t="e">
        <f t="shared" si="0"/>
        <v>#DIV/0!</v>
      </c>
      <c r="H18" s="14">
        <v>0</v>
      </c>
      <c r="I18" s="14" t="e">
        <f t="shared" si="1"/>
        <v>#DIV/0!</v>
      </c>
    </row>
    <row r="19" spans="5:9" x14ac:dyDescent="0.2">
      <c r="E19" s="102" t="s">
        <v>18</v>
      </c>
      <c r="F19" s="13">
        <v>0</v>
      </c>
      <c r="G19" s="14" t="e">
        <f t="shared" si="0"/>
        <v>#DIV/0!</v>
      </c>
      <c r="H19" s="14">
        <v>0</v>
      </c>
      <c r="I19" s="14" t="e">
        <f t="shared" si="1"/>
        <v>#DIV/0!</v>
      </c>
    </row>
    <row r="20" spans="5:9" x14ac:dyDescent="0.2">
      <c r="E20" s="102" t="s">
        <v>19</v>
      </c>
      <c r="F20" s="13">
        <v>0</v>
      </c>
      <c r="G20" s="14" t="e">
        <f t="shared" si="0"/>
        <v>#DIV/0!</v>
      </c>
      <c r="H20" s="14">
        <v>0</v>
      </c>
      <c r="I20" s="14" t="e">
        <f t="shared" si="1"/>
        <v>#DIV/0!</v>
      </c>
    </row>
    <row r="21" spans="5:9" x14ac:dyDescent="0.2">
      <c r="E21" s="102" t="s">
        <v>20</v>
      </c>
      <c r="F21" s="13">
        <v>0</v>
      </c>
      <c r="G21" s="14" t="e">
        <f t="shared" si="0"/>
        <v>#DIV/0!</v>
      </c>
      <c r="H21" s="14">
        <v>0</v>
      </c>
      <c r="I21" s="14" t="e">
        <f t="shared" si="1"/>
        <v>#DIV/0!</v>
      </c>
    </row>
    <row r="22" spans="5:9" x14ac:dyDescent="0.2">
      <c r="E22" s="102" t="s">
        <v>21</v>
      </c>
      <c r="F22" s="13">
        <v>0</v>
      </c>
      <c r="G22" s="14" t="e">
        <f t="shared" si="0"/>
        <v>#DIV/0!</v>
      </c>
      <c r="H22" s="14">
        <v>0</v>
      </c>
      <c r="I22" s="14" t="e">
        <f t="shared" si="1"/>
        <v>#DIV/0!</v>
      </c>
    </row>
    <row r="23" spans="5:9" x14ac:dyDescent="0.2">
      <c r="E23" s="102" t="s">
        <v>22</v>
      </c>
      <c r="F23" s="13">
        <v>0</v>
      </c>
      <c r="G23" s="14" t="e">
        <f t="shared" si="0"/>
        <v>#DIV/0!</v>
      </c>
      <c r="H23" s="14">
        <v>0</v>
      </c>
      <c r="I23" s="14" t="e">
        <f t="shared" si="1"/>
        <v>#DIV/0!</v>
      </c>
    </row>
    <row r="24" spans="5:9" x14ac:dyDescent="0.2">
      <c r="E24" s="102" t="s">
        <v>23</v>
      </c>
      <c r="F24" s="13">
        <v>0</v>
      </c>
      <c r="G24" s="14" t="e">
        <f t="shared" si="0"/>
        <v>#DIV/0!</v>
      </c>
      <c r="H24" s="14">
        <v>0</v>
      </c>
      <c r="I24" s="14" t="e">
        <f t="shared" si="1"/>
        <v>#DIV/0!</v>
      </c>
    </row>
    <row r="25" spans="5:9" x14ac:dyDescent="0.2">
      <c r="E25" s="102" t="s">
        <v>24</v>
      </c>
      <c r="F25" s="13">
        <v>0</v>
      </c>
      <c r="G25" s="14" t="e">
        <f t="shared" si="0"/>
        <v>#DIV/0!</v>
      </c>
      <c r="H25" s="14">
        <v>0</v>
      </c>
      <c r="I25" s="14" t="e">
        <f t="shared" si="1"/>
        <v>#DIV/0!</v>
      </c>
    </row>
    <row r="26" spans="5:9" x14ac:dyDescent="0.2">
      <c r="E26" s="102" t="s">
        <v>25</v>
      </c>
      <c r="F26" s="13">
        <v>0</v>
      </c>
      <c r="G26" s="14" t="e">
        <f t="shared" si="0"/>
        <v>#DIV/0!</v>
      </c>
      <c r="H26" s="14">
        <v>0</v>
      </c>
      <c r="I26" s="14" t="e">
        <f t="shared" si="1"/>
        <v>#DIV/0!</v>
      </c>
    </row>
    <row r="27" spans="5:9" x14ac:dyDescent="0.2">
      <c r="E27" s="102" t="s">
        <v>26</v>
      </c>
      <c r="F27" s="13">
        <v>0</v>
      </c>
      <c r="G27" s="14" t="e">
        <f t="shared" si="0"/>
        <v>#DIV/0!</v>
      </c>
      <c r="H27" s="14">
        <v>0</v>
      </c>
      <c r="I27" s="14" t="e">
        <f t="shared" si="1"/>
        <v>#DIV/0!</v>
      </c>
    </row>
    <row r="28" spans="5:9" x14ac:dyDescent="0.2">
      <c r="E28" s="102" t="s">
        <v>27</v>
      </c>
      <c r="F28" s="13">
        <v>0</v>
      </c>
      <c r="G28" s="14" t="e">
        <f t="shared" si="0"/>
        <v>#DIV/0!</v>
      </c>
      <c r="H28" s="14">
        <v>0</v>
      </c>
      <c r="I28" s="14" t="e">
        <f t="shared" si="1"/>
        <v>#DIV/0!</v>
      </c>
    </row>
    <row r="29" spans="5:9" x14ac:dyDescent="0.2">
      <c r="E29" s="102" t="s">
        <v>28</v>
      </c>
      <c r="F29" s="13">
        <v>0</v>
      </c>
      <c r="G29" s="14" t="e">
        <f t="shared" si="0"/>
        <v>#DIV/0!</v>
      </c>
      <c r="H29" s="14">
        <v>0</v>
      </c>
      <c r="I29" s="14" t="e">
        <f t="shared" si="1"/>
        <v>#DIV/0!</v>
      </c>
    </row>
    <row r="30" spans="5:9" x14ac:dyDescent="0.2">
      <c r="E30" s="102" t="s">
        <v>29</v>
      </c>
      <c r="F30" s="13">
        <v>0</v>
      </c>
      <c r="G30" s="14" t="e">
        <f t="shared" si="0"/>
        <v>#DIV/0!</v>
      </c>
      <c r="H30" s="14">
        <v>0</v>
      </c>
      <c r="I30" s="14" t="e">
        <f t="shared" si="1"/>
        <v>#DIV/0!</v>
      </c>
    </row>
    <row r="31" spans="5:9" x14ac:dyDescent="0.2">
      <c r="E31" s="102" t="s">
        <v>30</v>
      </c>
      <c r="F31" s="13">
        <v>0</v>
      </c>
      <c r="G31" s="14" t="e">
        <f t="shared" si="0"/>
        <v>#DIV/0!</v>
      </c>
      <c r="H31" s="14">
        <v>0</v>
      </c>
      <c r="I31" s="14" t="e">
        <f t="shared" si="1"/>
        <v>#DIV/0!</v>
      </c>
    </row>
    <row r="32" spans="5:9" x14ac:dyDescent="0.2">
      <c r="E32" s="102" t="s">
        <v>31</v>
      </c>
      <c r="F32" s="13">
        <v>0</v>
      </c>
      <c r="G32" s="14" t="e">
        <f t="shared" si="0"/>
        <v>#DIV/0!</v>
      </c>
      <c r="H32" s="14">
        <v>0</v>
      </c>
      <c r="I32" s="14" t="e">
        <f t="shared" si="1"/>
        <v>#DIV/0!</v>
      </c>
    </row>
    <row r="33" spans="5:9" x14ac:dyDescent="0.2">
      <c r="E33" s="102" t="s">
        <v>32</v>
      </c>
      <c r="F33" s="13">
        <v>0</v>
      </c>
      <c r="G33" s="14" t="e">
        <f t="shared" si="0"/>
        <v>#DIV/0!</v>
      </c>
      <c r="H33" s="14">
        <v>0</v>
      </c>
      <c r="I33" s="14" t="e">
        <f t="shared" si="1"/>
        <v>#DIV/0!</v>
      </c>
    </row>
    <row r="34" spans="5:9" x14ac:dyDescent="0.2">
      <c r="E34" s="102" t="s">
        <v>33</v>
      </c>
      <c r="F34" s="13">
        <v>0</v>
      </c>
      <c r="G34" s="14" t="e">
        <f t="shared" si="0"/>
        <v>#DIV/0!</v>
      </c>
      <c r="H34" s="14">
        <v>0</v>
      </c>
      <c r="I34" s="14" t="e">
        <f t="shared" si="1"/>
        <v>#DIV/0!</v>
      </c>
    </row>
    <row r="35" spans="5:9" x14ac:dyDescent="0.2">
      <c r="E35" s="102" t="s">
        <v>34</v>
      </c>
      <c r="F35" s="13">
        <v>0</v>
      </c>
      <c r="G35" s="14" t="e">
        <f t="shared" si="0"/>
        <v>#DIV/0!</v>
      </c>
      <c r="H35" s="14">
        <v>0</v>
      </c>
      <c r="I35" s="14" t="e">
        <f t="shared" si="1"/>
        <v>#DIV/0!</v>
      </c>
    </row>
    <row r="36" spans="5:9" x14ac:dyDescent="0.2">
      <c r="E36" s="102" t="s">
        <v>35</v>
      </c>
      <c r="F36" s="13">
        <v>0</v>
      </c>
      <c r="G36" s="14" t="e">
        <f t="shared" si="0"/>
        <v>#DIV/0!</v>
      </c>
      <c r="H36" s="14">
        <v>0</v>
      </c>
      <c r="I36" s="14" t="e">
        <f t="shared" si="1"/>
        <v>#DIV/0!</v>
      </c>
    </row>
    <row r="37" spans="5:9" x14ac:dyDescent="0.2">
      <c r="E37" s="102" t="s">
        <v>36</v>
      </c>
      <c r="F37" s="13">
        <v>0</v>
      </c>
      <c r="G37" s="14" t="e">
        <f t="shared" si="0"/>
        <v>#DIV/0!</v>
      </c>
      <c r="H37" s="14">
        <v>0</v>
      </c>
      <c r="I37" s="14" t="e">
        <f t="shared" si="1"/>
        <v>#DIV/0!</v>
      </c>
    </row>
    <row r="38" spans="5:9" x14ac:dyDescent="0.2">
      <c r="E38" s="102" t="s">
        <v>37</v>
      </c>
      <c r="F38" s="13">
        <v>0</v>
      </c>
      <c r="G38" s="14" t="e">
        <f t="shared" si="0"/>
        <v>#DIV/0!</v>
      </c>
      <c r="H38" s="14">
        <v>0</v>
      </c>
      <c r="I38" s="14" t="e">
        <f t="shared" si="1"/>
        <v>#DIV/0!</v>
      </c>
    </row>
    <row r="39" spans="5:9" x14ac:dyDescent="0.2">
      <c r="E39" s="102" t="s">
        <v>38</v>
      </c>
      <c r="F39" s="13">
        <v>0</v>
      </c>
      <c r="G39" s="14" t="e">
        <f t="shared" si="0"/>
        <v>#DIV/0!</v>
      </c>
      <c r="H39" s="14">
        <v>0</v>
      </c>
      <c r="I39" s="14" t="e">
        <f t="shared" si="1"/>
        <v>#DIV/0!</v>
      </c>
    </row>
    <row r="40" spans="5:9" x14ac:dyDescent="0.2">
      <c r="E40" s="102" t="s">
        <v>39</v>
      </c>
      <c r="F40" s="13">
        <v>0</v>
      </c>
      <c r="G40" s="14" t="e">
        <f t="shared" si="0"/>
        <v>#DIV/0!</v>
      </c>
      <c r="H40" s="14">
        <v>0</v>
      </c>
      <c r="I40" s="14" t="e">
        <f t="shared" si="1"/>
        <v>#DIV/0!</v>
      </c>
    </row>
    <row r="41" spans="5:9" x14ac:dyDescent="0.2">
      <c r="E41" s="102" t="s">
        <v>40</v>
      </c>
      <c r="F41" s="13">
        <v>0</v>
      </c>
      <c r="G41" s="14" t="e">
        <f t="shared" si="0"/>
        <v>#DIV/0!</v>
      </c>
      <c r="H41" s="14">
        <v>0</v>
      </c>
      <c r="I41" s="14" t="e">
        <f t="shared" si="1"/>
        <v>#DIV/0!</v>
      </c>
    </row>
    <row r="42" spans="5:9" x14ac:dyDescent="0.2">
      <c r="E42" s="102" t="s">
        <v>41</v>
      </c>
      <c r="F42" s="13">
        <v>0</v>
      </c>
      <c r="G42" s="14" t="e">
        <f t="shared" si="0"/>
        <v>#DIV/0!</v>
      </c>
      <c r="H42" s="14">
        <v>0</v>
      </c>
      <c r="I42" s="14" t="e">
        <f t="shared" si="1"/>
        <v>#DIV/0!</v>
      </c>
    </row>
    <row r="43" spans="5:9" x14ac:dyDescent="0.2">
      <c r="E43" s="102" t="s">
        <v>42</v>
      </c>
      <c r="F43" s="13">
        <v>0</v>
      </c>
      <c r="G43" s="14" t="e">
        <f t="shared" si="0"/>
        <v>#DIV/0!</v>
      </c>
      <c r="H43" s="14">
        <v>0</v>
      </c>
      <c r="I43" s="14" t="e">
        <f t="shared" si="1"/>
        <v>#DIV/0!</v>
      </c>
    </row>
    <row r="44" spans="5:9" x14ac:dyDescent="0.2">
      <c r="E44" s="102" t="s">
        <v>43</v>
      </c>
      <c r="F44" s="13">
        <v>0</v>
      </c>
      <c r="G44" s="14" t="e">
        <f t="shared" si="0"/>
        <v>#DIV/0!</v>
      </c>
      <c r="H44" s="14">
        <v>0</v>
      </c>
      <c r="I44" s="14" t="e">
        <f t="shared" si="1"/>
        <v>#DIV/0!</v>
      </c>
    </row>
    <row r="45" spans="5:9" x14ac:dyDescent="0.2">
      <c r="E45" s="102" t="s">
        <v>44</v>
      </c>
      <c r="F45" s="13">
        <v>0</v>
      </c>
      <c r="G45" s="14" t="e">
        <f t="shared" si="0"/>
        <v>#DIV/0!</v>
      </c>
      <c r="H45" s="14">
        <v>0</v>
      </c>
      <c r="I45" s="14" t="e">
        <f t="shared" si="1"/>
        <v>#DIV/0!</v>
      </c>
    </row>
    <row r="46" spans="5:9" x14ac:dyDescent="0.2">
      <c r="E46" s="102" t="s">
        <v>45</v>
      </c>
      <c r="F46" s="13">
        <v>0</v>
      </c>
      <c r="G46" s="14" t="e">
        <f t="shared" si="0"/>
        <v>#DIV/0!</v>
      </c>
      <c r="H46" s="14">
        <v>0</v>
      </c>
      <c r="I46" s="14" t="e">
        <f t="shared" si="1"/>
        <v>#DIV/0!</v>
      </c>
    </row>
    <row r="47" spans="5:9" x14ac:dyDescent="0.2">
      <c r="E47" s="102" t="s">
        <v>46</v>
      </c>
      <c r="F47" s="13">
        <v>0</v>
      </c>
      <c r="G47" s="14" t="e">
        <f t="shared" si="0"/>
        <v>#DIV/0!</v>
      </c>
      <c r="H47" s="14">
        <v>0</v>
      </c>
      <c r="I47" s="14" t="e">
        <f t="shared" si="1"/>
        <v>#DIV/0!</v>
      </c>
    </row>
    <row r="48" spans="5:9" x14ac:dyDescent="0.2">
      <c r="E48" s="102" t="s">
        <v>47</v>
      </c>
      <c r="F48" s="13">
        <v>0</v>
      </c>
      <c r="G48" s="14" t="e">
        <f t="shared" si="0"/>
        <v>#DIV/0!</v>
      </c>
      <c r="H48" s="14">
        <v>0</v>
      </c>
      <c r="I48" s="14" t="e">
        <f t="shared" si="1"/>
        <v>#DIV/0!</v>
      </c>
    </row>
    <row r="49" spans="5:9" x14ac:dyDescent="0.2">
      <c r="E49" s="102" t="s">
        <v>48</v>
      </c>
      <c r="F49" s="13">
        <v>0</v>
      </c>
      <c r="G49" s="14" t="e">
        <f t="shared" si="0"/>
        <v>#DIV/0!</v>
      </c>
      <c r="H49" s="14">
        <v>0</v>
      </c>
      <c r="I49" s="14" t="e">
        <f t="shared" si="1"/>
        <v>#DIV/0!</v>
      </c>
    </row>
    <row r="50" spans="5:9" x14ac:dyDescent="0.2">
      <c r="E50" s="102" t="s">
        <v>49</v>
      </c>
      <c r="F50" s="13">
        <v>0</v>
      </c>
      <c r="G50" s="14" t="e">
        <f t="shared" si="0"/>
        <v>#DIV/0!</v>
      </c>
      <c r="H50" s="14">
        <v>0</v>
      </c>
      <c r="I50" s="14" t="e">
        <f t="shared" si="1"/>
        <v>#DIV/0!</v>
      </c>
    </row>
    <row r="51" spans="5:9" x14ac:dyDescent="0.2">
      <c r="E51" s="102" t="s">
        <v>50</v>
      </c>
      <c r="F51" s="13">
        <v>0</v>
      </c>
      <c r="G51" s="14" t="e">
        <f t="shared" si="0"/>
        <v>#DIV/0!</v>
      </c>
      <c r="H51" s="14">
        <v>0</v>
      </c>
      <c r="I51" s="14" t="e">
        <f t="shared" si="1"/>
        <v>#DIV/0!</v>
      </c>
    </row>
    <row r="52" spans="5:9" x14ac:dyDescent="0.2">
      <c r="E52" s="102" t="s">
        <v>51</v>
      </c>
      <c r="F52" s="13">
        <v>0</v>
      </c>
      <c r="G52" s="14" t="e">
        <f t="shared" si="0"/>
        <v>#DIV/0!</v>
      </c>
      <c r="H52" s="14">
        <v>0</v>
      </c>
      <c r="I52" s="14" t="e">
        <f t="shared" si="1"/>
        <v>#DIV/0!</v>
      </c>
    </row>
    <row r="53" spans="5:9" x14ac:dyDescent="0.2">
      <c r="E53" s="102" t="s">
        <v>52</v>
      </c>
      <c r="F53" s="13">
        <v>0</v>
      </c>
      <c r="G53" s="14" t="e">
        <f t="shared" si="0"/>
        <v>#DIV/0!</v>
      </c>
      <c r="H53" s="14">
        <v>0</v>
      </c>
      <c r="I53" s="14" t="e">
        <f t="shared" si="1"/>
        <v>#DIV/0!</v>
      </c>
    </row>
    <row r="54" spans="5:9" x14ac:dyDescent="0.2">
      <c r="E54" s="104"/>
      <c r="F54" s="9"/>
      <c r="G54" s="6"/>
      <c r="H54" s="6"/>
      <c r="I54" s="6"/>
    </row>
    <row r="55" spans="5:9" x14ac:dyDescent="0.2">
      <c r="E55" s="103" t="s">
        <v>64</v>
      </c>
      <c r="F55" s="7">
        <f>SUM(F4:F53)</f>
        <v>0</v>
      </c>
      <c r="G55" s="12" t="s">
        <v>65</v>
      </c>
      <c r="H55" s="8">
        <f>SUM(H4:H53)</f>
        <v>0</v>
      </c>
      <c r="I55" s="1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Tuto-Import</vt:lpstr>
      <vt:lpstr>Tuto-Export</vt:lpstr>
      <vt:lpstr>Accueil</vt:lpstr>
      <vt:lpstr>Trajets</vt:lpstr>
      <vt:lpstr>Donnees-Recap</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Pierrick -</cp:lastModifiedBy>
  <dcterms:created xsi:type="dcterms:W3CDTF">2016-07-02T15:54:45Z</dcterms:created>
  <dcterms:modified xsi:type="dcterms:W3CDTF">2020-05-07T14:42:29Z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iteId">
    <vt:lpwstr>d852d5cd-724c-4128-8812-ffa5db3f8507</vt:lpwstr>
  </property>
  <property fmtid="{D5CDD505-2E9C-101B-9397-08002B2CF9AE}" pid="4" name="MSIP_Label_2fd53d93-3f4c-4b90-b511-bd6bdbb4fba9_Owner">
    <vt:lpwstr>P523783@inetpsa.com</vt:lpwstr>
  </property>
  <property fmtid="{D5CDD505-2E9C-101B-9397-08002B2CF9AE}" pid="5" name="MSIP_Label_2fd53d93-3f4c-4b90-b511-bd6bdbb4fba9_SetDate">
    <vt:lpwstr>2020-04-08T08:22:07.2130207Z</vt:lpwstr>
  </property>
  <property fmtid="{D5CDD505-2E9C-101B-9397-08002B2CF9AE}" pid="6" name="MSIP_Label_2fd53d93-3f4c-4b90-b511-bd6bdbb4fba9_Name">
    <vt:lpwstr>C2 - PSA Sensitive</vt:lpwstr>
  </property>
  <property fmtid="{D5CDD505-2E9C-101B-9397-08002B2CF9AE}" pid="7" name="MSIP_Label_2fd53d93-3f4c-4b90-b511-bd6bdbb4fba9_Application">
    <vt:lpwstr>Microsoft Azure Information Protection</vt:lpwstr>
  </property>
  <property fmtid="{D5CDD505-2E9C-101B-9397-08002B2CF9AE}" pid="8" name="MSIP_Label_2fd53d93-3f4c-4b90-b511-bd6bdbb4fba9_Extended_MSFT_Method">
    <vt:lpwstr>Automatic</vt:lpwstr>
  </property>
  <property fmtid="{D5CDD505-2E9C-101B-9397-08002B2CF9AE}" pid="9" name="Sensitivity">
    <vt:lpwstr>C2 - PSA Sensitive</vt:lpwstr>
  </property>
</Properties>
</file>