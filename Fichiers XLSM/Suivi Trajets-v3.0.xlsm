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hjpou\Documents\Dev_PC\"/>
    </mc:Choice>
  </mc:AlternateContent>
  <xr:revisionPtr revIDLastSave="0" documentId="13_ncr:1_{6A490AFA-1459-4325-8743-8CA34A185311}" xr6:coauthVersionLast="46" xr6:coauthVersionMax="47" xr10:uidLastSave="{00000000-0000-0000-0000-000000000000}"/>
  <bookViews>
    <workbookView xWindow="-120" yWindow="-120" windowWidth="38640" windowHeight="21390" tabRatio="744" activeTab="3"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Trajets!$A$3:$CW$2677</definedName>
  </definedNames>
  <calcPr calcId="191029"/>
  <pivotCaches>
    <pivotCache cacheId="6" r:id="rId6"/>
  </pivotCaches>
</workbook>
</file>

<file path=xl/calcChain.xml><?xml version="1.0" encoding="utf-8"?>
<calcChain xmlns="http://schemas.openxmlformats.org/spreadsheetml/2006/main">
  <c r="H55" i="21" l="1"/>
  <c r="I51" i="21" s="1"/>
  <c r="F55" i="21"/>
  <c r="G24" i="21" s="1"/>
  <c r="F1" i="21"/>
  <c r="H1" i="17"/>
  <c r="I4" i="17"/>
  <c r="G34" i="21" l="1"/>
  <c r="G47" i="21"/>
  <c r="G45" i="21"/>
  <c r="I36" i="21"/>
  <c r="I5" i="21"/>
  <c r="I38" i="21"/>
  <c r="I19" i="21"/>
  <c r="G40" i="21"/>
  <c r="I44" i="21"/>
  <c r="I34" i="21"/>
  <c r="I11" i="21"/>
  <c r="I33" i="21"/>
  <c r="I53" i="21"/>
  <c r="I39" i="21"/>
  <c r="I35" i="21"/>
  <c r="I15" i="21"/>
  <c r="I4" i="21"/>
  <c r="I12" i="21"/>
  <c r="I40" i="21"/>
  <c r="I20" i="21"/>
  <c r="I14" i="21"/>
  <c r="I49" i="21"/>
  <c r="I27" i="21"/>
  <c r="I8" i="21"/>
  <c r="I26" i="21"/>
  <c r="I21" i="21"/>
  <c r="I25" i="21"/>
  <c r="I32" i="21"/>
  <c r="I31" i="21"/>
  <c r="I42" i="21"/>
  <c r="I24" i="21"/>
  <c r="I46" i="21"/>
  <c r="I10" i="21"/>
  <c r="I13" i="21"/>
  <c r="I17" i="21"/>
  <c r="I23" i="21"/>
  <c r="I22" i="21"/>
  <c r="G31" i="21"/>
  <c r="G33" i="21"/>
  <c r="G9" i="21"/>
  <c r="G50" i="21"/>
  <c r="G38" i="21"/>
  <c r="G42" i="21"/>
  <c r="G17" i="21"/>
  <c r="G14" i="21"/>
  <c r="G46" i="21"/>
  <c r="G44" i="21"/>
  <c r="G7" i="21"/>
  <c r="G35" i="21"/>
  <c r="G43" i="21"/>
  <c r="G30" i="21"/>
  <c r="G39" i="21"/>
  <c r="G25" i="21"/>
  <c r="I52" i="21"/>
  <c r="I6" i="21"/>
  <c r="G12" i="21"/>
  <c r="G48" i="21"/>
  <c r="G32" i="21"/>
  <c r="G51" i="21"/>
  <c r="G37" i="21"/>
  <c r="G23" i="21"/>
  <c r="G53" i="21"/>
  <c r="G49" i="21"/>
  <c r="G41" i="21"/>
  <c r="G36" i="21"/>
  <c r="I47" i="21"/>
  <c r="I50" i="21"/>
  <c r="I37" i="21"/>
  <c r="G27" i="21"/>
  <c r="G15" i="21"/>
  <c r="I48" i="21"/>
  <c r="I30" i="21"/>
  <c r="I16" i="21"/>
  <c r="I41" i="21"/>
  <c r="I18" i="21"/>
  <c r="I29" i="21"/>
  <c r="I43" i="21"/>
  <c r="I45" i="21"/>
  <c r="I28" i="21"/>
  <c r="I7" i="21"/>
  <c r="G20" i="21"/>
  <c r="G16" i="21"/>
  <c r="I9" i="21"/>
  <c r="G5" i="21"/>
  <c r="G22" i="21"/>
  <c r="G52" i="21"/>
  <c r="G29" i="21"/>
  <c r="G21" i="21"/>
  <c r="G13" i="21"/>
  <c r="G8" i="21"/>
  <c r="G18" i="21"/>
  <c r="G6" i="21"/>
  <c r="G4" i="21"/>
  <c r="G19" i="21"/>
  <c r="G11" i="21"/>
  <c r="G28" i="21"/>
  <c r="G26" i="21"/>
  <c r="G10" i="21"/>
</calcChain>
</file>

<file path=xl/sharedStrings.xml><?xml version="1.0" encoding="utf-8"?>
<sst xmlns="http://schemas.openxmlformats.org/spreadsheetml/2006/main" count="201" uniqueCount="167">
  <si>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</si>
  <si>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</si>
  <si>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</si>
  <si>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</si>
  <si>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</si>
  <si>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</si>
  <si>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</si>
  <si>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</si>
  <si>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</si>
  <si>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</si>
  <si>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</si>
  <si>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</si>
  <si>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</si>
  <si>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</si>
  <si>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</si>
  <si>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</si>
  <si>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</si>
  <si>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</si>
  <si>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</si>
  <si>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</si>
  <si>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</si>
  <si>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</si>
  <si>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</si>
  <si>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</si>
  <si>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</si>
  <si>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</si>
  <si>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</si>
  <si>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</si>
  <si>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</si>
  <si>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</si>
  <si>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</si>
  <si>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</si>
  <si>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</si>
  <si>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</si>
  <si>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</si>
  <si>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</si>
  <si>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</si>
  <si>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</si>
  <si>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</si>
  <si>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</si>
  <si>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</si>
  <si>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</si>
  <si>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</si>
  <si>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</si>
  <si>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</si>
  <si>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</si>
  <si>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</si>
  <si>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</si>
  <si>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</si>
  <si>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</si>
  <si>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</si>
  <si>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</si>
  <si>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</si>
  <si>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</si>
  <si>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</si>
  <si>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</si>
  <si>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</si>
  <si>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</si>
  <si>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Jour</t>
  </si>
  <si>
    <t>Mois</t>
  </si>
  <si>
    <t>Dist max / j</t>
  </si>
  <si>
    <t>Distance Mensuelle (km)</t>
  </si>
  <si>
    <t>Distance du jour (km)</t>
  </si>
  <si>
    <t>Nb. Trajets</t>
  </si>
  <si>
    <t>Total km :</t>
  </si>
  <si>
    <t>Autonomie restante (km)</t>
  </si>
  <si>
    <t>Chemin d'accès du fichier :</t>
  </si>
  <si>
    <t>VIN(s)</t>
  </si>
  <si>
    <t>Distance totale</t>
  </si>
  <si>
    <t>Distance trajet</t>
  </si>
  <si>
    <t>Conso L/100 km</t>
  </si>
  <si>
    <t>Conso L/trajet</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</si>
  <si>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</si>
  <si>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</si>
  <si>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</si>
  <si>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</si>
  <si>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</si>
  <si>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</si>
  <si>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</si>
  <si>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</si>
  <si>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</si>
  <si>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</si>
  <si>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</si>
  <si>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</si>
  <si>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</si>
  <si>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</si>
  <si>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</si>
  <si>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</si>
  <si>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</si>
  <si>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</si>
  <si>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</si>
  <si>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Jours avant maintenance</t>
  </si>
  <si>
    <t>Distance avant maintenance</t>
  </si>
  <si>
    <t>Maintenance faite</t>
  </si>
  <si>
    <t>Dans ces colonnes figurera des données peu utile au quotidien, mais utilisées pour reconstruire le fichier JSON de données.</t>
  </si>
  <si>
    <t>Marque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</si>
  <si>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</si>
  <si>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</si>
  <si>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</si>
  <si>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</si>
  <si>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</si>
  <si>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</si>
  <si>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</si>
  <si>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</si>
  <si>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</si>
  <si>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</si>
  <si>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</si>
  <si>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</si>
  <si>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</si>
  <si>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</si>
  <si>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</si>
  <si>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</si>
  <si>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</si>
  <si>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</si>
  <si>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</si>
  <si>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</si>
  <si>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</si>
  <si>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</si>
  <si>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</si>
  <si>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</si>
  <si>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</si>
  <si>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</si>
  <si>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</si>
  <si>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</si>
  <si>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</si>
  <si>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</si>
  <si>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Vérif dist traj + km début = dist totale</t>
  </si>
  <si>
    <t>Vérif distance trajet = et distance save</t>
  </si>
  <si>
    <t>Vérif distance totale = début trajet + 1</t>
  </si>
  <si>
    <t>Thermique</t>
  </si>
  <si>
    <t>Electrique</t>
  </si>
  <si>
    <t>Départ</t>
  </si>
  <si>
    <t>Arrivée</t>
  </si>
  <si>
    <t>Latitude</t>
  </si>
  <si>
    <t>Longitude</t>
  </si>
  <si>
    <t>Adresse</t>
  </si>
  <si>
    <t>Niveau
batterie</t>
  </si>
  <si>
    <t>Autonomie
Electrique</t>
  </si>
  <si>
    <t>%trajet
en EV</t>
  </si>
  <si>
    <t>Durée (hh:mm:ss)</t>
  </si>
  <si>
    <t>Destination</t>
  </si>
  <si>
    <t>Rue</t>
  </si>
  <si>
    <t>N° rue</t>
  </si>
  <si>
    <t>Ville</t>
  </si>
  <si>
    <t>Code postal</t>
  </si>
  <si>
    <t>Pays</t>
  </si>
  <si>
    <t>Quality</t>
  </si>
  <si>
    <t>Altitude</t>
  </si>
  <si>
    <t>Intersection</t>
  </si>
  <si>
    <t>Km</t>
  </si>
  <si>
    <t>Date</t>
  </si>
  <si>
    <t>Niveau carburant</t>
  </si>
  <si>
    <t>Prix carburant</t>
  </si>
  <si>
    <t>Prix EV</t>
  </si>
  <si>
    <t>Source</t>
  </si>
  <si>
    <t>Catégorie</t>
  </si>
  <si>
    <t>Type énergie</t>
  </si>
  <si>
    <t>Consom EV</t>
  </si>
  <si>
    <t>Date ISO8601</t>
  </si>
  <si>
    <t>Maintenance</t>
  </si>
  <si>
    <t>Travel Time</t>
  </si>
  <si>
    <t>Alertes</t>
  </si>
  <si>
    <t>Kwh/100</t>
  </si>
  <si>
    <t>Capacité batterie
BEV/PHEV (en Kwh)</t>
  </si>
  <si>
    <t>(Plusieurs éléments)</t>
  </si>
  <si>
    <t>Privacy</t>
  </si>
  <si>
    <t>v3.00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</si>
</sst>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50"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8"/>
      <name val="Calibri"/>
      <family val="2"/>
      <scheme val="minor"/>
    </font>
    <font>
      <sz val="8"/>
      <color theme="0"/>
      <name val="Calibri"/>
      <family val="2"/>
      <scheme val="minor"/>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
      <sz val="12"/>
      <color rgb="FF000080"/>
      <name val="Calibri"/>
      <family val="2"/>
    </font>
    <font>
      <sz val="12"/>
      <color rgb="FF008000"/>
      <name val="Calibri"/>
      <family val="2"/>
    </font>
    <font>
      <sz val="11"/>
      <color rgb="FF993300"/>
      <name val="Calibri"/>
      <family val="2"/>
    </font>
    <font>
      <sz val="12"/>
      <color rgb="FF333333"/>
      <name val="Calibri"/>
      <family val="2"/>
    </font>
    <font>
      <sz val="12"/>
      <color rgb="FF0000FF"/>
      <name val="Calibri"/>
      <family val="2"/>
    </font>
    <font>
      <sz val="11"/>
      <color rgb="FFFF0000"/>
      <name val="Calibri"/>
      <family val="2"/>
    </font>
    <font>
      <sz val="11"/>
      <color rgb="FFFF9900"/>
      <name val="Calibri"/>
      <family val="2"/>
    </font>
    <font>
      <sz val="10"/>
      <color rgb="FF000080"/>
      <name val="Calibri"/>
      <family val="2"/>
    </font>
    <font>
      <b/>
      <sz val="10"/>
      <color rgb="FF000080"/>
      <name val="Calibri"/>
      <family val="2"/>
    </font>
    <font>
      <i/>
      <sz val="12"/>
      <name val="Calibri"/>
      <family val="2"/>
    </font>
    <font>
      <i/>
      <sz val="10"/>
      <name val="Arial"/>
      <family val="2"/>
    </font>
    <font>
      <sz val="10"/>
      <color rgb="FF333333"/>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79998168889431442"/>
        <bgColor indexed="64"/>
      </patternFill>
    </fill>
  </fills>
  <borders count="42">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
      <left style="thin">
        <color theme="0"/>
      </left>
      <right style="thin">
        <color theme="0"/>
      </right>
      <top style="thin">
        <color theme="0"/>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s>
  <cellStyleXfs count="2">
    <xf numFmtId="0" fontId="0" fillId="0" borderId="0"/>
    <xf numFmtId="0" fontId="9" fillId="0" borderId="0"/>
  </cellStyleXfs>
  <cellXfs count="198">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0" fillId="8" borderId="14" xfId="1" applyNumberFormat="1" applyFont="1" applyFill="1" applyBorder="1" applyAlignment="1">
      <alignment horizontal="center" wrapText="1"/>
    </xf>
    <xf numFmtId="0" fontId="11" fillId="8" borderId="15" xfId="1" applyNumberFormat="1" applyFont="1" applyFill="1" applyBorder="1" applyAlignment="1">
      <alignment horizontal="center" vertical="top" wrapText="1"/>
    </xf>
    <xf numFmtId="0" fontId="13" fillId="9" borderId="0" xfId="1" applyFont="1" applyFill="1"/>
    <xf numFmtId="0" fontId="13" fillId="0" borderId="0" xfId="0" pivotButton="1" applyFont="1" applyAlignment="1">
      <alignment horizontal="center" vertical="center"/>
    </xf>
    <xf numFmtId="0" fontId="13" fillId="0" borderId="0" xfId="0" applyFont="1"/>
    <xf numFmtId="0" fontId="14" fillId="9" borderId="0" xfId="1" applyFont="1" applyFill="1" applyAlignment="1">
      <alignment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2" fillId="10" borderId="12" xfId="0" applyFont="1" applyFill="1" applyBorder="1" applyAlignment="1">
      <alignment horizontal="center" vertical="center"/>
    </xf>
    <xf numFmtId="0" fontId="12" fillId="10" borderId="13" xfId="0" applyFont="1" applyFill="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 xfId="0" applyFont="1" applyBorder="1" applyAlignment="1">
      <alignment horizontal="center" vertical="center"/>
    </xf>
    <xf numFmtId="0" fontId="13" fillId="0" borderId="7" xfId="0" applyFont="1" applyBorder="1" applyAlignment="1">
      <alignment horizontal="center" vertical="center"/>
    </xf>
    <xf numFmtId="0" fontId="13" fillId="9" borderId="1" xfId="1" applyFont="1" applyFill="1" applyBorder="1" applyAlignment="1">
      <alignment horizontal="center" vertical="center"/>
    </xf>
    <xf numFmtId="0" fontId="13" fillId="9" borderId="7" xfId="1" applyFont="1" applyFill="1" applyBorder="1" applyAlignment="1">
      <alignment horizontal="center" vertical="center"/>
    </xf>
    <xf numFmtId="0" fontId="13" fillId="9" borderId="10" xfId="1" applyFont="1" applyFill="1" applyBorder="1" applyAlignment="1">
      <alignment horizontal="center" vertical="center"/>
    </xf>
    <xf numFmtId="0" fontId="13" fillId="9" borderId="11" xfId="1" applyFont="1" applyFill="1" applyBorder="1" applyAlignment="1">
      <alignment horizontal="center" vertical="center"/>
    </xf>
    <xf numFmtId="0" fontId="13" fillId="9" borderId="0" xfId="1" applyFont="1" applyFill="1" applyAlignment="1">
      <alignment horizontal="center" vertical="center"/>
    </xf>
    <xf numFmtId="0" fontId="15" fillId="7" borderId="0" xfId="1" applyFont="1" applyFill="1" applyBorder="1" applyAlignment="1">
      <alignment horizontal="right" vertical="center"/>
    </xf>
    <xf numFmtId="0" fontId="15"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2" fillId="10" borderId="23" xfId="0" applyFont="1" applyFill="1" applyBorder="1" applyAlignment="1">
      <alignment horizontal="center" vertical="center"/>
    </xf>
    <xf numFmtId="0" fontId="13" fillId="0" borderId="24" xfId="0" applyFont="1" applyBorder="1" applyAlignment="1">
      <alignment horizontal="center" vertical="center"/>
    </xf>
    <xf numFmtId="0" fontId="13" fillId="0" borderId="0" xfId="0" applyFont="1" applyBorder="1" applyAlignment="1">
      <alignment horizontal="center" vertical="center"/>
    </xf>
    <xf numFmtId="0" fontId="13" fillId="9" borderId="0" xfId="1" applyFont="1" applyFill="1" applyBorder="1" applyAlignment="1">
      <alignment horizontal="center" vertical="center"/>
    </xf>
    <xf numFmtId="0" fontId="13" fillId="9" borderId="20" xfId="1" applyFont="1" applyFill="1" applyBorder="1" applyAlignment="1">
      <alignment horizontal="center" vertical="center"/>
    </xf>
    <xf numFmtId="0" fontId="17" fillId="12" borderId="25" xfId="0" applyFont="1" applyFill="1" applyBorder="1" applyAlignment="1">
      <alignment horizontal="center" vertical="center" wrapText="1"/>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19" fillId="9" borderId="0" xfId="1" applyFont="1" applyFill="1"/>
    <xf numFmtId="0" fontId="20" fillId="9" borderId="0" xfId="1" applyFont="1" applyFill="1"/>
    <xf numFmtId="49" fontId="21" fillId="9" borderId="32" xfId="1" applyNumberFormat="1" applyFont="1" applyFill="1" applyBorder="1" applyAlignment="1">
      <alignment horizontal="justify" vertical="center"/>
    </xf>
    <xf numFmtId="49" fontId="21" fillId="9" borderId="0" xfId="1" applyNumberFormat="1" applyFont="1" applyFill="1" applyBorder="1" applyAlignment="1">
      <alignment horizontal="justify" vertical="center"/>
    </xf>
    <xf numFmtId="49" fontId="21" fillId="9" borderId="33" xfId="1" applyNumberFormat="1" applyFont="1" applyFill="1" applyBorder="1" applyAlignment="1">
      <alignment horizontal="justify" vertical="center"/>
    </xf>
    <xf numFmtId="49" fontId="21" fillId="9" borderId="32" xfId="1" applyNumberFormat="1" applyFont="1" applyFill="1" applyBorder="1"/>
    <xf numFmtId="0" fontId="18" fillId="9" borderId="32" xfId="1" applyFont="1" applyFill="1" applyBorder="1"/>
    <xf numFmtId="0" fontId="18" fillId="9" borderId="34" xfId="1" applyFont="1" applyFill="1" applyBorder="1"/>
    <xf numFmtId="49" fontId="27" fillId="7" borderId="0" xfId="1" applyNumberFormat="1" applyFont="1" applyFill="1" applyBorder="1" applyAlignment="1">
      <alignment horizontal="left" vertical="center"/>
    </xf>
    <xf numFmtId="1" fontId="13" fillId="13" borderId="0" xfId="0" applyNumberFormat="1" applyFont="1" applyFill="1" applyAlignment="1">
      <alignment horizontal="center" vertical="center"/>
    </xf>
    <xf numFmtId="1" fontId="13" fillId="13" borderId="0" xfId="0" applyNumberFormat="1" applyFont="1" applyFill="1" applyBorder="1" applyAlignment="1">
      <alignment horizontal="center" vertical="center"/>
    </xf>
    <xf numFmtId="164" fontId="13" fillId="13" borderId="0" xfId="0" applyNumberFormat="1" applyFont="1" applyFill="1" applyBorder="1" applyAlignment="1">
      <alignment horizontal="center" vertical="center"/>
    </xf>
    <xf numFmtId="2" fontId="13"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2" fillId="13" borderId="0" xfId="0" applyNumberFormat="1" applyFont="1" applyFill="1" applyAlignment="1">
      <alignment horizontal="right" vertical="center"/>
    </xf>
    <xf numFmtId="0" fontId="13"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0" xfId="1" applyNumberFormat="1" applyFont="1" applyFill="1" applyAlignment="1">
      <alignment horizontal="center" vertical="center"/>
    </xf>
    <xf numFmtId="0" fontId="29"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0" fillId="0" borderId="0" xfId="0" applyFont="1" applyAlignment="1">
      <alignment horizontal="center" vertical="center"/>
    </xf>
    <xf numFmtId="0" fontId="30" fillId="9" borderId="0" xfId="0" applyFont="1" applyFill="1" applyBorder="1" applyAlignment="1">
      <alignment horizontal="center" vertical="center"/>
    </xf>
    <xf numFmtId="0" fontId="13" fillId="9" borderId="0" xfId="1" applyFont="1" applyFill="1" applyAlignment="1">
      <alignment horizontal="left" vertical="center" wrapText="1"/>
    </xf>
    <xf numFmtId="0" fontId="32" fillId="9" borderId="26" xfId="1" applyFont="1" applyFill="1" applyBorder="1" applyAlignment="1">
      <alignment horizontal="center" vertical="center"/>
    </xf>
    <xf numFmtId="0" fontId="31" fillId="9" borderId="26" xfId="1" applyFont="1" applyFill="1" applyBorder="1" applyAlignment="1">
      <alignment horizontal="center" vertical="center"/>
    </xf>
    <xf numFmtId="0" fontId="34" fillId="9" borderId="26" xfId="1" applyFont="1" applyFill="1" applyBorder="1" applyAlignment="1">
      <alignment horizontal="center" vertical="center"/>
    </xf>
    <xf numFmtId="0" fontId="13"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35" fillId="9" borderId="26" xfId="1" applyFont="1" applyFill="1" applyBorder="1" applyAlignment="1">
      <alignment horizontal="center" vertical="center"/>
    </xf>
    <xf numFmtId="0" fontId="36" fillId="9" borderId="37" xfId="1" applyFont="1" applyFill="1" applyBorder="1" applyAlignment="1">
      <alignment horizontal="center" vertical="center" wrapText="1"/>
    </xf>
    <xf numFmtId="0" fontId="35" fillId="9" borderId="37" xfId="1" applyFont="1" applyFill="1" applyBorder="1" applyAlignment="1">
      <alignment horizontal="center" vertical="center" wrapText="1"/>
    </xf>
    <xf numFmtId="0" fontId="37" fillId="9" borderId="37" xfId="1" applyFont="1" applyFill="1" applyBorder="1" applyAlignment="1">
      <alignment horizontal="center" vertical="center" wrapText="1"/>
    </xf>
    <xf numFmtId="20" fontId="13" fillId="9" borderId="0" xfId="1" applyNumberFormat="1" applyFont="1" applyFill="1"/>
    <xf numFmtId="165" fontId="5" fillId="3" borderId="38" xfId="0" applyNumberFormat="1" applyFont="1" applyFill="1" applyBorder="1" applyAlignment="1">
      <alignment horizontal="center" vertical="center" wrapText="1"/>
    </xf>
    <xf numFmtId="0" fontId="16" fillId="11" borderId="20" xfId="0" applyFont="1" applyFill="1" applyBorder="1" applyAlignment="1">
      <alignment horizontal="center" vertical="center"/>
    </xf>
    <xf numFmtId="9" fontId="4" fillId="2" borderId="0" xfId="0" applyNumberFormat="1" applyFont="1" applyFill="1" applyAlignment="1">
      <alignment horizontal="left" vertical="center"/>
    </xf>
    <xf numFmtId="9" fontId="5" fillId="3" borderId="6" xfId="0" applyNumberFormat="1" applyFont="1" applyFill="1" applyBorder="1" applyAlignment="1">
      <alignment horizontal="center" vertical="center" wrapText="1"/>
    </xf>
    <xf numFmtId="1" fontId="4" fillId="2" borderId="0" xfId="0" applyNumberFormat="1" applyFont="1" applyFill="1" applyAlignment="1">
      <alignment horizontal="left" vertical="center"/>
    </xf>
    <xf numFmtId="1" fontId="5" fillId="3" borderId="6" xfId="0" applyNumberFormat="1" applyFont="1" applyFill="1" applyBorder="1" applyAlignment="1">
      <alignment horizontal="center" vertical="center" wrapText="1"/>
    </xf>
    <xf numFmtId="1" fontId="1" fillId="0" borderId="0" xfId="0" applyNumberFormat="1" applyFont="1" applyBorder="1" applyAlignment="1">
      <alignment horizontal="center" vertical="center"/>
    </xf>
    <xf numFmtId="10" fontId="4" fillId="2" borderId="0" xfId="0" applyNumberFormat="1" applyFont="1" applyFill="1" applyAlignment="1">
      <alignment horizontal="center" vertical="center"/>
    </xf>
    <xf numFmtId="46" fontId="1" fillId="0" borderId="3" xfId="0" applyNumberFormat="1" applyFont="1" applyBorder="1" applyAlignment="1">
      <alignment horizontal="center" vertical="center"/>
    </xf>
    <xf numFmtId="168" fontId="1" fillId="0" borderId="4" xfId="0" applyNumberFormat="1" applyFont="1" applyBorder="1" applyAlignment="1">
      <alignment horizontal="center" vertical="center"/>
    </xf>
    <xf numFmtId="168" fontId="1" fillId="0" borderId="5" xfId="0" applyNumberFormat="1" applyFont="1" applyBorder="1" applyAlignment="1">
      <alignment horizontal="center" vertical="center"/>
    </xf>
    <xf numFmtId="49" fontId="1" fillId="11" borderId="0" xfId="0" applyNumberFormat="1" applyFont="1" applyFill="1" applyAlignment="1">
      <alignment horizontal="left" vertical="center"/>
    </xf>
    <xf numFmtId="0" fontId="16" fillId="11" borderId="20" xfId="0" applyFont="1" applyFill="1" applyBorder="1" applyAlignment="1">
      <alignment horizontal="center" vertical="center"/>
    </xf>
    <xf numFmtId="168" fontId="1" fillId="0" borderId="0" xfId="0" applyNumberFormat="1" applyFont="1" applyBorder="1" applyAlignment="1">
      <alignment horizontal="center" vertical="center"/>
    </xf>
    <xf numFmtId="10" fontId="5" fillId="3" borderId="40" xfId="0" applyNumberFormat="1" applyFont="1" applyFill="1" applyBorder="1" applyAlignment="1">
      <alignment horizontal="center" vertical="center" wrapText="1"/>
    </xf>
    <xf numFmtId="168" fontId="1" fillId="0" borderId="7" xfId="0" applyNumberFormat="1" applyFont="1" applyBorder="1" applyAlignment="1">
      <alignment horizontal="center" vertical="center"/>
    </xf>
    <xf numFmtId="10" fontId="5" fillId="3" borderId="41" xfId="0" applyNumberFormat="1" applyFont="1" applyFill="1" applyBorder="1" applyAlignment="1">
      <alignment horizontal="center" vertical="center" wrapText="1"/>
    </xf>
    <xf numFmtId="0" fontId="1" fillId="4" borderId="0" xfId="0" applyFont="1" applyFill="1" applyBorder="1" applyAlignment="1">
      <alignment vertical="center" wrapText="1"/>
    </xf>
    <xf numFmtId="0" fontId="4" fillId="4" borderId="0" xfId="0" applyFont="1" applyFill="1" applyBorder="1" applyAlignment="1">
      <alignment horizontal="center" vertical="center"/>
    </xf>
    <xf numFmtId="0" fontId="16" fillId="11" borderId="20" xfId="0" applyFont="1" applyFill="1" applyBorder="1" applyAlignment="1">
      <alignment horizontal="center" vertical="center"/>
    </xf>
    <xf numFmtId="49" fontId="24" fillId="9" borderId="29" xfId="1" applyNumberFormat="1" applyFont="1" applyFill="1" applyBorder="1" applyAlignment="1">
      <alignment horizontal="center" vertical="top"/>
    </xf>
    <xf numFmtId="49" fontId="24" fillId="9" borderId="30" xfId="1" applyNumberFormat="1" applyFont="1" applyFill="1" applyBorder="1" applyAlignment="1">
      <alignment horizontal="center" vertical="top"/>
    </xf>
    <xf numFmtId="49" fontId="24" fillId="9" borderId="31" xfId="1" applyNumberFormat="1" applyFont="1" applyFill="1" applyBorder="1" applyAlignment="1">
      <alignment horizontal="center" vertical="top"/>
    </xf>
    <xf numFmtId="49" fontId="24" fillId="9" borderId="32" xfId="1" applyNumberFormat="1" applyFont="1" applyFill="1" applyBorder="1" applyAlignment="1">
      <alignment horizontal="center" vertical="top"/>
    </xf>
    <xf numFmtId="49" fontId="24" fillId="9" borderId="0" xfId="1" applyNumberFormat="1" applyFont="1" applyFill="1" applyBorder="1" applyAlignment="1">
      <alignment horizontal="center" vertical="top"/>
    </xf>
    <xf numFmtId="49" fontId="24" fillId="9" borderId="33" xfId="1" applyNumberFormat="1" applyFont="1" applyFill="1" applyBorder="1" applyAlignment="1">
      <alignment horizontal="center" vertical="top"/>
    </xf>
    <xf numFmtId="49" fontId="21" fillId="9" borderId="32" xfId="1" applyNumberFormat="1" applyFont="1" applyFill="1" applyBorder="1" applyAlignment="1">
      <alignment horizontal="justify" vertical="center"/>
    </xf>
    <xf numFmtId="49" fontId="21" fillId="9" borderId="0" xfId="1" applyNumberFormat="1" applyFont="1" applyFill="1" applyBorder="1" applyAlignment="1">
      <alignment horizontal="justify" vertical="center"/>
    </xf>
    <xf numFmtId="49" fontId="21" fillId="9" borderId="33" xfId="1" applyNumberFormat="1" applyFont="1" applyFill="1" applyBorder="1" applyAlignment="1">
      <alignment horizontal="justify" vertical="center"/>
    </xf>
    <xf numFmtId="49" fontId="21" fillId="9" borderId="0" xfId="1" applyNumberFormat="1" applyFont="1" applyFill="1" applyBorder="1" applyAlignment="1">
      <alignment horizontal="justify" vertical="top" wrapText="1"/>
    </xf>
    <xf numFmtId="49" fontId="21" fillId="9" borderId="33" xfId="1" applyNumberFormat="1" applyFont="1" applyFill="1" applyBorder="1" applyAlignment="1">
      <alignment horizontal="justify" vertical="top" wrapText="1"/>
    </xf>
    <xf numFmtId="49" fontId="21" fillId="9" borderId="35" xfId="1" applyNumberFormat="1" applyFont="1" applyFill="1" applyBorder="1" applyAlignment="1">
      <alignment horizontal="justify" vertical="top" wrapText="1"/>
    </xf>
    <xf numFmtId="49" fontId="21" fillId="9" borderId="36" xfId="1" applyNumberFormat="1" applyFont="1" applyFill="1" applyBorder="1" applyAlignment="1">
      <alignment horizontal="justify" vertical="top" wrapText="1"/>
    </xf>
    <xf numFmtId="49" fontId="21" fillId="9" borderId="0" xfId="1" applyNumberFormat="1" applyFont="1" applyFill="1" applyBorder="1" applyAlignment="1">
      <alignment horizontal="justify" vertical="center" wrapText="1"/>
    </xf>
    <xf numFmtId="49" fontId="21" fillId="9" borderId="33" xfId="1" applyNumberFormat="1" applyFont="1" applyFill="1" applyBorder="1" applyAlignment="1">
      <alignment horizontal="justify" vertical="center" wrapText="1"/>
    </xf>
    <xf numFmtId="49" fontId="21" fillId="9" borderId="32" xfId="1" applyNumberFormat="1" applyFont="1" applyFill="1" applyBorder="1" applyAlignment="1">
      <alignment horizontal="justify" vertical="center" wrapText="1"/>
    </xf>
    <xf numFmtId="49" fontId="22" fillId="9" borderId="0" xfId="1" applyNumberFormat="1" applyFont="1" applyFill="1" applyBorder="1" applyAlignment="1">
      <alignment horizontal="justify" vertical="center" wrapText="1"/>
    </xf>
    <xf numFmtId="49" fontId="22" fillId="9" borderId="33" xfId="1" applyNumberFormat="1" applyFont="1" applyFill="1" applyBorder="1" applyAlignment="1">
      <alignment horizontal="justify" vertical="center" wrapText="1"/>
    </xf>
    <xf numFmtId="49" fontId="25" fillId="9" borderId="26" xfId="1" applyNumberFormat="1" applyFont="1" applyFill="1" applyBorder="1" applyAlignment="1">
      <alignment horizontal="center" vertical="center"/>
    </xf>
    <xf numFmtId="49" fontId="25" fillId="9" borderId="27" xfId="1" applyNumberFormat="1" applyFont="1" applyFill="1" applyBorder="1" applyAlignment="1">
      <alignment horizontal="center" vertical="center"/>
    </xf>
    <xf numFmtId="49" fontId="25" fillId="9" borderId="28" xfId="1" applyNumberFormat="1" applyFont="1" applyFill="1" applyBorder="1" applyAlignment="1">
      <alignment horizontal="center" vertical="center"/>
    </xf>
    <xf numFmtId="0" fontId="13" fillId="9" borderId="27" xfId="1" applyFont="1" applyFill="1" applyBorder="1" applyAlignment="1">
      <alignment horizontal="left" vertical="center" wrapText="1"/>
    </xf>
    <xf numFmtId="0" fontId="13" fillId="9" borderId="28" xfId="1" applyFont="1" applyFill="1" applyBorder="1" applyAlignment="1">
      <alignment horizontal="left" vertical="center" wrapText="1"/>
    </xf>
    <xf numFmtId="0" fontId="12" fillId="6" borderId="19" xfId="1" applyFont="1" applyFill="1" applyBorder="1" applyAlignment="1">
      <alignment horizontal="center" vertical="center"/>
    </xf>
    <xf numFmtId="0" fontId="12"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4" fillId="9" borderId="0" xfId="1" applyFont="1" applyFill="1" applyAlignment="1">
      <alignment horizontal="center" vertical="center" wrapText="1"/>
    </xf>
    <xf numFmtId="0" fontId="14" fillId="9" borderId="20" xfId="1" applyFont="1" applyFill="1" applyBorder="1" applyAlignment="1">
      <alignment horizontal="center" vertical="center" wrapText="1"/>
    </xf>
    <xf numFmtId="0" fontId="13" fillId="9" borderId="27" xfId="1" applyFont="1" applyFill="1" applyBorder="1" applyAlignment="1">
      <alignment horizontal="left" vertical="center"/>
    </xf>
    <xf numFmtId="0" fontId="13" fillId="9" borderId="28" xfId="1" applyFont="1" applyFill="1" applyBorder="1" applyAlignment="1">
      <alignment horizontal="left" vertical="center"/>
    </xf>
    <xf numFmtId="0" fontId="12" fillId="9" borderId="37"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33" fillId="9" borderId="0" xfId="1" applyFont="1" applyFill="1" applyAlignment="1">
      <alignment horizontal="left" vertical="center"/>
    </xf>
    <xf numFmtId="0" fontId="47" fillId="19" borderId="20" xfId="0" applyNumberFormat="1" applyFont="1" applyFill="1" applyBorder="1" applyAlignment="1">
      <alignment horizontal="center" vertical="center"/>
    </xf>
    <xf numFmtId="0" fontId="0" fillId="19" borderId="20" xfId="0" applyFill="1" applyBorder="1" applyAlignment="1">
      <alignment horizontal="center" vertical="center"/>
    </xf>
    <xf numFmtId="0" fontId="47" fillId="18" borderId="20" xfId="0" applyNumberFormat="1" applyFont="1" applyFill="1" applyBorder="1" applyAlignment="1">
      <alignment horizontal="center" vertical="center"/>
    </xf>
    <xf numFmtId="0" fontId="0" fillId="18" borderId="20" xfId="0" applyFill="1" applyBorder="1" applyAlignment="1">
      <alignment horizontal="center" vertical="center"/>
    </xf>
    <xf numFmtId="0" fontId="16" fillId="11" borderId="1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20" xfId="0" applyFont="1" applyFill="1" applyBorder="1" applyAlignment="1">
      <alignment horizontal="left" vertical="center"/>
    </xf>
    <xf numFmtId="0" fontId="0" fillId="0" borderId="20" xfId="0" applyBorder="1" applyAlignment="1">
      <alignment vertical="center"/>
    </xf>
    <xf numFmtId="0" fontId="47" fillId="16" borderId="39" xfId="0" applyNumberFormat="1" applyFont="1" applyFill="1" applyBorder="1" applyAlignment="1">
      <alignment horizontal="center" vertical="center"/>
    </xf>
    <xf numFmtId="0" fontId="48" fillId="16" borderId="39" xfId="0" applyFont="1" applyFill="1" applyBorder="1" applyAlignment="1">
      <alignment horizontal="center" vertical="center"/>
    </xf>
    <xf numFmtId="0" fontId="47" fillId="18" borderId="39" xfId="0" applyNumberFormat="1" applyFont="1" applyFill="1" applyBorder="1" applyAlignment="1">
      <alignment horizontal="center" vertical="center"/>
    </xf>
    <xf numFmtId="0" fontId="48" fillId="18" borderId="39" xfId="0" applyFont="1" applyFill="1" applyBorder="1" applyAlignment="1">
      <alignment horizontal="center" vertical="center"/>
    </xf>
    <xf numFmtId="0" fontId="47" fillId="19" borderId="39" xfId="0" applyNumberFormat="1" applyFont="1" applyFill="1" applyBorder="1" applyAlignment="1">
      <alignment horizontal="center" vertical="center"/>
    </xf>
    <xf numFmtId="0" fontId="48" fillId="19" borderId="39" xfId="0" applyFont="1" applyFill="1" applyBorder="1" applyAlignment="1">
      <alignment horizontal="center" vertical="center"/>
    </xf>
    <xf numFmtId="0" fontId="47" fillId="20" borderId="20" xfId="0" applyNumberFormat="1" applyFont="1" applyFill="1" applyBorder="1" applyAlignment="1">
      <alignment horizontal="center" vertical="center"/>
    </xf>
    <xf numFmtId="0" fontId="48" fillId="20" borderId="20" xfId="0" applyFont="1" applyFill="1" applyBorder="1" applyAlignment="1">
      <alignment horizontal="center" vertical="center"/>
    </xf>
    <xf numFmtId="0" fontId="0" fillId="20" borderId="20" xfId="0" applyFill="1" applyBorder="1" applyAlignment="1">
      <alignment horizontal="center" vertical="center"/>
    </xf>
    <xf numFmtId="0" fontId="16" fillId="21" borderId="22" xfId="0" applyFont="1" applyFill="1" applyBorder="1" applyAlignment="1">
      <alignment horizontal="center" vertical="center"/>
    </xf>
    <xf numFmtId="0" fontId="0" fillId="21" borderId="22" xfId="0" applyFill="1" applyBorder="1" applyAlignment="1">
      <alignment horizontal="center" vertical="center"/>
    </xf>
    <xf numFmtId="0" fontId="47" fillId="17" borderId="39" xfId="0" applyNumberFormat="1" applyFont="1" applyFill="1" applyBorder="1" applyAlignment="1">
      <alignment horizontal="center" vertical="center"/>
    </xf>
    <xf numFmtId="0" fontId="48" fillId="17" borderId="39" xfId="0" applyFont="1" applyFill="1" applyBorder="1" applyAlignment="1">
      <alignment horizontal="center" vertical="center"/>
    </xf>
    <xf numFmtId="10" fontId="0" fillId="17" borderId="39" xfId="0" applyNumberFormat="1" applyFill="1" applyBorder="1" applyAlignment="1">
      <alignment horizontal="center" vertical="center"/>
    </xf>
    <xf numFmtId="0" fontId="0" fillId="0" borderId="39" xfId="0" applyBorder="1" applyAlignment="1">
      <alignment horizontal="center" vertical="center"/>
    </xf>
  </cellXfs>
  <cellStyles count="2">
    <cellStyle name="Normal" xfId="0" builtinId="0"/>
    <cellStyle name="Normal 2" xfId="1" xr:uid="{00000000-0005-0000-0000-000001000000}"/>
  </cellStyles>
  <dxfs count="22">
    <dxf>
      <font>
        <color rgb="FF9C0006"/>
      </font>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85825"/>
          <a:ext cx="1781175" cy="36957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19</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0</xdr:row>
          <xdr:rowOff>28575</xdr:rowOff>
        </xdr:from>
        <xdr:to>
          <xdr:col>20</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76200</xdr:colOff>
          <xdr:row>0</xdr:row>
          <xdr:rowOff>38100</xdr:rowOff>
        </xdr:from>
        <xdr:to>
          <xdr:col>71</xdr:col>
          <xdr:colOff>581025</xdr:colOff>
          <xdr:row>0</xdr:row>
          <xdr:rowOff>390525</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54</xdr:col>
          <xdr:colOff>1209675</xdr:colOff>
          <xdr:row>0</xdr:row>
          <xdr:rowOff>38100</xdr:rowOff>
        </xdr:from>
        <xdr:to>
          <xdr:col>57</xdr:col>
          <xdr:colOff>285750</xdr:colOff>
          <xdr:row>0</xdr:row>
          <xdr:rowOff>390525</xdr:rowOff>
        </xdr:to>
        <xdr:sp macro="" textlink="">
          <xdr:nvSpPr>
            <xdr:cNvPr id="11279" name="Button 2"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333333"/>
                  </a:solidFill>
                  <a:latin typeface="Calibri"/>
                  <a:cs typeface="Calibri"/>
                </a:rPr>
                <a:t>🗑 Effacer les données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rso" refreshedDate="44708.937011226852" createdVersion="6" refreshedVersion="6" minRefreshableVersion="3" recordCount="2675" xr:uid="{00000000-000A-0000-FFFF-FFFF1F000000}">
  <cacheSource type="worksheet">
    <worksheetSource ref="A3:U1048576" sheet="Trajets"/>
  </cacheSource>
  <cacheFields count="21">
    <cacheField name="VIN(s)" numFmtId="0">
      <sharedItems containsNonDate="0" containsBlank="1" count="7">
        <m/>
        <s v="VF3LCBHXWHS172605" u="1"/>
        <s v="VR3F3DGXTMY513590" u="1"/>
        <s v="VF3XXXXXXXXXXXXXXX" u="1"/>
        <s v="VR3F4DGZTKY224073" u="1"/>
        <s v="VR7A4DGZSLL054903" u="1"/>
        <s v="VR3UPHNKSLT051702" u="1"/>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h:mm:ss)" numFmtId="46">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Niveau_x000a_batterie" numFmtId="168">
      <sharedItems containsNonDate="0" containsString="0" containsBlank="1"/>
    </cacheField>
    <cacheField name="Autonomie_x000a_Electrique" numFmtId="1">
      <sharedItems containsNonDate="0" containsString="0" containsBlank="1"/>
    </cacheField>
    <cacheField name="%trajet_x000a_en EV" numFmtId="168">
      <sharedItems containsNonDate="0" containsString="0" containsBlank="1"/>
    </cacheField>
    <cacheField name="Kwh/100" numFmtId="168">
      <sharedItems containsNonDate="0" containsString="0" containsBlank="1"/>
    </cacheField>
    <cacheField name="Latitude" numFmtId="49">
      <sharedItems containsNonDate="0" containsString="0" containsBlank="1"/>
    </cacheField>
    <cacheField name="Longitude" numFmtId="49">
      <sharedItems containsNonDate="0" containsString="0" containsBlank="1"/>
    </cacheField>
    <cacheField name="Adresse" numFmtId="49">
      <sharedItems containsNonDate="0" containsString="0" containsBlank="1"/>
    </cacheField>
    <cacheField name="Latitude2" numFmtId="49">
      <sharedItems containsNonDate="0" containsString="0" containsBlank="1"/>
    </cacheField>
    <cacheField name="Longitude2" numFmtId="49">
      <sharedItems containsNonDate="0" containsString="0" containsBlank="1"/>
    </cacheField>
    <cacheField name="Adresse2" numFmtId="49">
      <sharedItems containsNonDate="0" containsString="0" containsBlank="1"/>
    </cacheField>
    <cacheField name="Niveau carburant"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75">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6"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21">
    <pivotField axis="axisPage" multipleItemSelectionAllowed="1" showAll="0">
      <items count="8">
        <item h="1" x="0"/>
        <item h="1" m="1" x="5"/>
        <item m="1" x="2"/>
        <item h="1" m="1" x="4"/>
        <item h="1" m="1" x="1"/>
        <item h="1" m="1" x="6"/>
        <item h="1" m="1" x="3"/>
        <item t="default"/>
      </items>
    </pivotField>
    <pivotField dataField="1" showAll="0"/>
    <pivotField showAll="0"/>
    <pivotField showAll="0"/>
    <pivotField showAll="0" defaultSubtotal="0"/>
    <pivotField dataField="1" showAll="0"/>
    <pivotField dataField="1" showAll="0"/>
    <pivotField dataField="1"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1">
      <pivotArea outline="0" collapsedLevelsAreSubtotals="1" fieldPosition="0">
        <references count="1">
          <reference field="4294967294" count="3" selected="0">
            <x v="1"/>
            <x v="2"/>
            <x v="3"/>
          </reference>
        </references>
      </pivotArea>
    </format>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1">
            <x v="1"/>
          </reference>
        </references>
      </pivotArea>
    </format>
    <format dxfId="16">
      <pivotArea outline="0" collapsedLevelsAreSubtotals="1" fieldPosition="0"/>
    </format>
    <format dxfId="15">
      <pivotArea outline="0" collapsedLevelsAreSubtotals="1" fieldPosition="0"/>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3" selected="0">
            <x v="0"/>
            <x v="2"/>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0">
      <pivotArea field="0" type="button" dataOnly="0" labelOnly="1" outline="0" axis="axisPage" fieldPosition="0"/>
    </format>
    <format dxfId="9">
      <pivotArea field="0" type="button" dataOnly="0" labelOnly="1" outline="0" axis="axisPage"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outline="0" collapsedLevelsAreSubtotals="1" fieldPosition="0"/>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6"/>
  </cols>
  <sheetData>
    <row r="11" spans="1:1" ht="14.25" x14ac:dyDescent="0.25">
      <c r="A11"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2"/>
  </cols>
  <sheetData>
    <row r="1" spans="3:12" ht="18.75" customHeight="1" x14ac:dyDescent="0.2">
      <c r="C1" s="139" t="s">
        <v>96</v>
      </c>
      <c r="D1" s="140"/>
      <c r="E1" s="140"/>
      <c r="F1" s="140"/>
      <c r="G1" s="140"/>
      <c r="H1" s="140"/>
      <c r="I1" s="140"/>
      <c r="J1" s="140"/>
      <c r="K1" s="140"/>
      <c r="L1" s="141"/>
    </row>
    <row r="2" spans="3:12" ht="18.75" customHeight="1" x14ac:dyDescent="0.2">
      <c r="C2" s="142"/>
      <c r="D2" s="143"/>
      <c r="E2" s="143"/>
      <c r="F2" s="143"/>
      <c r="G2" s="143"/>
      <c r="H2" s="143"/>
      <c r="I2" s="143"/>
      <c r="J2" s="143"/>
      <c r="K2" s="143"/>
      <c r="L2" s="144"/>
    </row>
    <row r="3" spans="3:12" ht="18.75" customHeight="1" x14ac:dyDescent="0.2">
      <c r="C3" s="142"/>
      <c r="D3" s="143"/>
      <c r="E3" s="143"/>
      <c r="F3" s="143"/>
      <c r="G3" s="143"/>
      <c r="H3" s="143"/>
      <c r="I3" s="143"/>
      <c r="J3" s="143"/>
      <c r="K3" s="143"/>
      <c r="L3" s="144"/>
    </row>
    <row r="4" spans="3:12" ht="18.75" customHeight="1" x14ac:dyDescent="0.2">
      <c r="C4" s="145" t="s">
        <v>97</v>
      </c>
      <c r="D4" s="146"/>
      <c r="E4" s="146"/>
      <c r="F4" s="146"/>
      <c r="G4" s="146"/>
      <c r="H4" s="146"/>
      <c r="I4" s="146"/>
      <c r="J4" s="146"/>
      <c r="K4" s="146"/>
      <c r="L4" s="147"/>
    </row>
    <row r="5" spans="3:12" ht="18.75" customHeight="1" x14ac:dyDescent="0.2">
      <c r="C5" s="154" t="s">
        <v>98</v>
      </c>
      <c r="D5" s="152"/>
      <c r="E5" s="152"/>
      <c r="F5" s="152"/>
      <c r="G5" s="152"/>
      <c r="H5" s="152"/>
      <c r="I5" s="152"/>
      <c r="J5" s="152"/>
      <c r="K5" s="152"/>
      <c r="L5" s="153"/>
    </row>
    <row r="6" spans="3:12" ht="18.75" customHeight="1" x14ac:dyDescent="0.2">
      <c r="C6" s="154"/>
      <c r="D6" s="152"/>
      <c r="E6" s="152"/>
      <c r="F6" s="152"/>
      <c r="G6" s="152"/>
      <c r="H6" s="152"/>
      <c r="I6" s="152"/>
      <c r="J6" s="152"/>
      <c r="K6" s="152"/>
      <c r="L6" s="153"/>
    </row>
    <row r="7" spans="3:12" ht="18.75" customHeight="1" x14ac:dyDescent="0.2">
      <c r="C7" s="145" t="s">
        <v>99</v>
      </c>
      <c r="D7" s="146"/>
      <c r="E7" s="146"/>
      <c r="F7" s="146"/>
      <c r="G7" s="146"/>
      <c r="H7" s="146"/>
      <c r="I7" s="146"/>
      <c r="J7" s="146"/>
      <c r="K7" s="146"/>
      <c r="L7" s="147"/>
    </row>
    <row r="8" spans="3:12" ht="18.75" customHeight="1" x14ac:dyDescent="0.2">
      <c r="C8" s="75"/>
      <c r="D8" s="146" t="s">
        <v>100</v>
      </c>
      <c r="E8" s="146"/>
      <c r="F8" s="146"/>
      <c r="G8" s="146"/>
      <c r="H8" s="146"/>
      <c r="I8" s="146"/>
      <c r="J8" s="146"/>
      <c r="K8" s="146"/>
      <c r="L8" s="147"/>
    </row>
    <row r="9" spans="3:12" ht="18.75" customHeight="1" x14ac:dyDescent="0.2">
      <c r="C9" s="75"/>
      <c r="D9" s="146" t="s">
        <v>101</v>
      </c>
      <c r="E9" s="146"/>
      <c r="F9" s="146"/>
      <c r="G9" s="146"/>
      <c r="H9" s="146"/>
      <c r="I9" s="146"/>
      <c r="J9" s="146"/>
      <c r="K9" s="146"/>
      <c r="L9" s="147"/>
    </row>
    <row r="10" spans="3:12" ht="18.75" customHeight="1" x14ac:dyDescent="0.2">
      <c r="C10" s="75"/>
      <c r="D10" s="76"/>
      <c r="E10" s="157" t="s">
        <v>102</v>
      </c>
      <c r="F10" s="158"/>
      <c r="G10" s="158"/>
      <c r="H10" s="159"/>
      <c r="I10" s="76"/>
      <c r="J10" s="76"/>
      <c r="K10" s="76"/>
      <c r="L10" s="77"/>
    </row>
    <row r="11" spans="3:12" ht="18.75" customHeight="1" x14ac:dyDescent="0.2">
      <c r="C11" s="75"/>
      <c r="D11" s="76"/>
      <c r="E11" s="76"/>
      <c r="F11" s="76"/>
      <c r="G11" s="155" t="s">
        <v>103</v>
      </c>
      <c r="H11" s="155"/>
      <c r="I11" s="155"/>
      <c r="J11" s="155"/>
      <c r="K11" s="155"/>
      <c r="L11" s="156"/>
    </row>
    <row r="12" spans="3:12" ht="18.75" customHeight="1" x14ac:dyDescent="0.2">
      <c r="C12" s="75"/>
      <c r="D12" s="76"/>
      <c r="E12" s="76"/>
      <c r="F12" s="76"/>
      <c r="G12" s="155"/>
      <c r="H12" s="155"/>
      <c r="I12" s="155"/>
      <c r="J12" s="155"/>
      <c r="K12" s="155"/>
      <c r="L12" s="156"/>
    </row>
    <row r="13" spans="3:12" ht="18.75" customHeight="1" x14ac:dyDescent="0.2">
      <c r="C13" s="75"/>
      <c r="D13" s="152" t="s">
        <v>105</v>
      </c>
      <c r="E13" s="152"/>
      <c r="F13" s="152"/>
      <c r="G13" s="152"/>
      <c r="H13" s="152"/>
      <c r="I13" s="152"/>
      <c r="J13" s="152"/>
      <c r="K13" s="152"/>
      <c r="L13" s="153"/>
    </row>
    <row r="14" spans="3:12" ht="18.75" customHeight="1" x14ac:dyDescent="0.2">
      <c r="C14" s="75"/>
      <c r="D14" s="152"/>
      <c r="E14" s="152"/>
      <c r="F14" s="152"/>
      <c r="G14" s="152"/>
      <c r="H14" s="152"/>
      <c r="I14" s="152"/>
      <c r="J14" s="152"/>
      <c r="K14" s="152"/>
      <c r="L14" s="153"/>
    </row>
    <row r="15" spans="3:12" ht="18.75" customHeight="1" x14ac:dyDescent="0.2">
      <c r="C15" s="75"/>
      <c r="D15" s="148" t="s">
        <v>104</v>
      </c>
      <c r="E15" s="148"/>
      <c r="F15" s="148"/>
      <c r="G15" s="148"/>
      <c r="H15" s="148"/>
      <c r="I15" s="148"/>
      <c r="J15" s="148"/>
      <c r="K15" s="148"/>
      <c r="L15" s="149"/>
    </row>
    <row r="16" spans="3:12" ht="18.75" customHeight="1" x14ac:dyDescent="0.3">
      <c r="C16" s="78"/>
      <c r="D16" s="148"/>
      <c r="E16" s="148"/>
      <c r="F16" s="148"/>
      <c r="G16" s="148"/>
      <c r="H16" s="148"/>
      <c r="I16" s="148"/>
      <c r="J16" s="148"/>
      <c r="K16" s="148"/>
      <c r="L16" s="149"/>
    </row>
    <row r="17" spans="3:12" ht="18.75" customHeight="1" x14ac:dyDescent="0.25">
      <c r="C17" s="79"/>
      <c r="D17" s="148"/>
      <c r="E17" s="148"/>
      <c r="F17" s="148"/>
      <c r="G17" s="148"/>
      <c r="H17" s="148"/>
      <c r="I17" s="148"/>
      <c r="J17" s="148"/>
      <c r="K17" s="148"/>
      <c r="L17" s="149"/>
    </row>
    <row r="18" spans="3:12" ht="18.75" customHeight="1" thickBot="1" x14ac:dyDescent="0.3">
      <c r="C18" s="80"/>
      <c r="D18" s="150"/>
      <c r="E18" s="150"/>
      <c r="F18" s="150"/>
      <c r="G18" s="150"/>
      <c r="H18" s="150"/>
      <c r="I18" s="150"/>
      <c r="J18" s="150"/>
      <c r="K18" s="150"/>
      <c r="L18" s="151"/>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workbookViewId="0">
      <selection activeCell="H14" sqref="H14"/>
    </sheetView>
  </sheetViews>
  <sheetFormatPr baseColWidth="10" defaultColWidth="11.42578125" defaultRowHeight="15" x14ac:dyDescent="0.25"/>
  <cols>
    <col min="1" max="1" width="3.42578125" style="39" customWidth="1"/>
    <col min="2" max="2" width="22" style="39" customWidth="1"/>
    <col min="3" max="4" width="3.42578125" style="39" customWidth="1"/>
    <col min="5" max="5" width="18.42578125" style="39" customWidth="1"/>
    <col min="6" max="6" width="22.42578125" style="39" customWidth="1"/>
    <col min="7" max="7" width="16.42578125" style="39" customWidth="1"/>
    <col min="8" max="8" width="21.140625" style="39" customWidth="1"/>
    <col min="9" max="9" width="17.85546875" style="39" customWidth="1"/>
    <col min="10" max="10" width="4.42578125" style="39" customWidth="1"/>
    <col min="11" max="11" width="1.85546875" style="39" customWidth="1"/>
    <col min="12" max="12" width="1.42578125" style="39" customWidth="1"/>
    <col min="13" max="13" width="21.85546875" style="55" customWidth="1"/>
    <col min="14" max="14" width="19.28515625" style="55" bestFit="1" customWidth="1"/>
    <col min="15" max="15" width="9.7109375" style="39" customWidth="1"/>
    <col min="16" max="16384" width="11.42578125" style="39"/>
  </cols>
  <sheetData>
    <row r="1" spans="1:27" ht="15.75" thickBot="1" x14ac:dyDescent="0.3">
      <c r="A1" s="118"/>
      <c r="E1" s="40" t="s">
        <v>67</v>
      </c>
      <c r="F1" s="41" t="s">
        <v>164</v>
      </c>
      <c r="G1" s="87" t="s">
        <v>78</v>
      </c>
      <c r="H1" s="88" t="str">
        <f>IF($F1="(Plusieurs éléments)","",IF($F1="(vide)","",IF($F1="(Tous)","",VLOOKUP($F1,$M$3:$N$23,2,FALSE))))</f>
        <v/>
      </c>
      <c r="M1" s="168" t="s">
        <v>83</v>
      </c>
      <c r="N1" s="168"/>
      <c r="O1" s="168"/>
      <c r="Z1" s="100" t="b">
        <v>1</v>
      </c>
      <c r="AA1" s="99"/>
    </row>
    <row r="2" spans="1:27" ht="15.75" thickTop="1" x14ac:dyDescent="0.25">
      <c r="B2" s="37" t="s">
        <v>72</v>
      </c>
      <c r="E2" s="42" t="s">
        <v>81</v>
      </c>
      <c r="F2" s="42"/>
      <c r="G2" s="41"/>
      <c r="M2" s="169"/>
      <c r="N2" s="169"/>
      <c r="O2" s="169"/>
    </row>
    <row r="3" spans="1:27" ht="30.75" thickBot="1" x14ac:dyDescent="0.3">
      <c r="B3" s="38" t="s">
        <v>166</v>
      </c>
      <c r="E3" s="43" t="s">
        <v>79</v>
      </c>
      <c r="F3" s="43" t="s">
        <v>75</v>
      </c>
      <c r="G3" s="44" t="s">
        <v>73</v>
      </c>
      <c r="H3" s="44" t="s">
        <v>74</v>
      </c>
      <c r="I3" s="66" t="s">
        <v>76</v>
      </c>
      <c r="J3"/>
      <c r="M3" s="45" t="s">
        <v>77</v>
      </c>
      <c r="N3" s="61" t="s">
        <v>82</v>
      </c>
      <c r="O3" s="46" t="s">
        <v>95</v>
      </c>
    </row>
    <row r="4" spans="1:27" ht="15.75" thickTop="1" x14ac:dyDescent="0.25">
      <c r="E4" s="82"/>
      <c r="F4" s="83"/>
      <c r="G4" s="84"/>
      <c r="H4" s="85"/>
      <c r="I4" s="86" t="str">
        <f>IF(GETPIVOTDATA("Kilométrage actuel de la voiture",$E$3)&gt;0,GETPIVOTDATA("Conso Totale (L)",$E$3)*100/GETPIVOTDATA("Kilométrage total",$E$3),"")</f>
        <v/>
      </c>
      <c r="J4"/>
      <c r="M4" s="47"/>
      <c r="N4" s="62"/>
      <c r="O4" s="48"/>
    </row>
    <row r="5" spans="1:27" x14ac:dyDescent="0.25">
      <c r="B5" s="39" t="s">
        <v>80</v>
      </c>
      <c r="M5" s="49"/>
      <c r="N5" s="44"/>
      <c r="O5" s="50"/>
    </row>
    <row r="6" spans="1:27" x14ac:dyDescent="0.25">
      <c r="E6" s="42" t="s">
        <v>88</v>
      </c>
      <c r="M6" s="49"/>
      <c r="N6" s="63"/>
      <c r="O6" s="50"/>
    </row>
    <row r="7" spans="1:27" x14ac:dyDescent="0.25">
      <c r="E7" s="166" t="s">
        <v>87</v>
      </c>
      <c r="F7" s="167"/>
      <c r="G7" s="162" t="s">
        <v>84</v>
      </c>
      <c r="H7" s="163"/>
      <c r="M7" s="51"/>
      <c r="N7" s="64"/>
      <c r="O7" s="52"/>
    </row>
    <row r="8" spans="1:27" x14ac:dyDescent="0.25">
      <c r="E8" s="164" t="s">
        <v>80</v>
      </c>
      <c r="F8" s="165"/>
      <c r="G8" s="56" t="s">
        <v>85</v>
      </c>
      <c r="H8" s="81" t="s">
        <v>80</v>
      </c>
      <c r="M8" s="51"/>
      <c r="N8" s="64"/>
      <c r="O8" s="52"/>
    </row>
    <row r="9" spans="1:27" x14ac:dyDescent="0.25">
      <c r="E9" s="164"/>
      <c r="F9" s="165"/>
      <c r="G9" s="57" t="s">
        <v>86</v>
      </c>
      <c r="H9" s="81" t="s">
        <v>80</v>
      </c>
      <c r="M9" s="51"/>
      <c r="N9" s="64"/>
      <c r="O9" s="52"/>
    </row>
    <row r="10" spans="1:27" x14ac:dyDescent="0.25">
      <c r="M10" s="51"/>
      <c r="N10" s="64"/>
      <c r="O10" s="52"/>
    </row>
    <row r="11" spans="1:27" x14ac:dyDescent="0.25">
      <c r="M11" s="51"/>
      <c r="N11" s="64"/>
      <c r="O11" s="52"/>
    </row>
    <row r="12" spans="1:27" x14ac:dyDescent="0.25">
      <c r="M12" s="51"/>
      <c r="N12" s="64"/>
      <c r="O12" s="52"/>
    </row>
    <row r="13" spans="1:27" x14ac:dyDescent="0.25">
      <c r="M13" s="51"/>
      <c r="N13" s="64"/>
      <c r="O13" s="52"/>
    </row>
    <row r="14" spans="1:27" ht="16.5" x14ac:dyDescent="0.3">
      <c r="F14" s="73"/>
      <c r="M14" s="51"/>
      <c r="N14" s="64"/>
      <c r="O14" s="52"/>
    </row>
    <row r="15" spans="1:27" x14ac:dyDescent="0.25">
      <c r="M15" s="51"/>
      <c r="N15" s="64"/>
      <c r="O15" s="52"/>
    </row>
    <row r="16" spans="1:27" x14ac:dyDescent="0.25">
      <c r="M16" s="51"/>
      <c r="N16" s="64"/>
      <c r="O16" s="52"/>
    </row>
    <row r="17" spans="2:15" x14ac:dyDescent="0.25">
      <c r="M17" s="51"/>
      <c r="N17" s="64"/>
      <c r="O17" s="52"/>
    </row>
    <row r="18" spans="2:15" x14ac:dyDescent="0.25">
      <c r="M18" s="51"/>
      <c r="N18" s="64"/>
      <c r="O18" s="52"/>
    </row>
    <row r="19" spans="2:15" ht="16.5" x14ac:dyDescent="0.3">
      <c r="F19" s="73"/>
      <c r="M19" s="51"/>
      <c r="N19" s="64"/>
      <c r="O19" s="52"/>
    </row>
    <row r="20" spans="2:15" x14ac:dyDescent="0.25">
      <c r="E20" s="174" t="s">
        <v>106</v>
      </c>
      <c r="F20" s="174"/>
      <c r="G20" s="174"/>
      <c r="H20" s="174"/>
      <c r="I20" s="174"/>
      <c r="M20" s="51"/>
      <c r="N20" s="64"/>
      <c r="O20" s="52"/>
    </row>
    <row r="21" spans="2:15" x14ac:dyDescent="0.25">
      <c r="B21" s="39" t="s">
        <v>80</v>
      </c>
      <c r="E21" s="108" t="s">
        <v>107</v>
      </c>
      <c r="F21" s="170" t="s">
        <v>108</v>
      </c>
      <c r="G21" s="170"/>
      <c r="H21" s="170"/>
      <c r="I21" s="171"/>
      <c r="M21" s="51"/>
      <c r="N21" s="64"/>
      <c r="O21" s="52"/>
    </row>
    <row r="22" spans="2:15" x14ac:dyDescent="0.25">
      <c r="E22" s="109" t="s">
        <v>112</v>
      </c>
      <c r="F22" s="170" t="s">
        <v>109</v>
      </c>
      <c r="G22" s="170"/>
      <c r="H22" s="170"/>
      <c r="I22" s="171"/>
      <c r="M22" s="51"/>
      <c r="N22" s="64"/>
      <c r="O22" s="52"/>
    </row>
    <row r="23" spans="2:15" x14ac:dyDescent="0.25">
      <c r="E23" s="114" t="s">
        <v>119</v>
      </c>
      <c r="F23" s="170" t="s">
        <v>120</v>
      </c>
      <c r="G23" s="170"/>
      <c r="H23" s="170"/>
      <c r="I23" s="171"/>
      <c r="M23" s="53"/>
      <c r="N23" s="65"/>
      <c r="O23" s="54"/>
    </row>
    <row r="24" spans="2:15" x14ac:dyDescent="0.25">
      <c r="E24" s="110" t="s">
        <v>113</v>
      </c>
      <c r="F24" s="170" t="s">
        <v>114</v>
      </c>
      <c r="G24" s="170"/>
      <c r="H24" s="170"/>
      <c r="I24" s="171"/>
    </row>
    <row r="25" spans="2:15" x14ac:dyDescent="0.25">
      <c r="E25" s="111" t="s">
        <v>110</v>
      </c>
      <c r="F25" s="170" t="s">
        <v>111</v>
      </c>
      <c r="G25" s="170"/>
      <c r="H25" s="170"/>
      <c r="I25" s="171"/>
    </row>
    <row r="27" spans="2:15" x14ac:dyDescent="0.25">
      <c r="E27" s="174" t="s">
        <v>117</v>
      </c>
      <c r="F27" s="174"/>
      <c r="G27" s="174"/>
      <c r="H27" s="174"/>
      <c r="I27" s="174"/>
    </row>
    <row r="28" spans="2:15" ht="15" customHeight="1" x14ac:dyDescent="0.25">
      <c r="E28" s="172" t="s">
        <v>115</v>
      </c>
      <c r="F28" s="160" t="s">
        <v>116</v>
      </c>
      <c r="G28" s="160"/>
      <c r="H28" s="160"/>
      <c r="I28" s="161"/>
      <c r="J28" s="55"/>
      <c r="K28" s="55"/>
      <c r="L28" s="55"/>
    </row>
    <row r="29" spans="2:15" x14ac:dyDescent="0.25">
      <c r="E29" s="173"/>
      <c r="F29" s="160"/>
      <c r="G29" s="160"/>
      <c r="H29" s="160"/>
      <c r="I29" s="161"/>
      <c r="J29" s="55"/>
      <c r="K29" s="55"/>
      <c r="L29" s="55"/>
    </row>
    <row r="30" spans="2:15" x14ac:dyDescent="0.25">
      <c r="E30" s="115" t="s">
        <v>121</v>
      </c>
      <c r="F30" s="160" t="s">
        <v>122</v>
      </c>
      <c r="G30" s="160"/>
      <c r="H30" s="160"/>
      <c r="I30" s="161"/>
      <c r="J30" s="55"/>
      <c r="K30" s="55"/>
      <c r="L30" s="55"/>
    </row>
    <row r="31" spans="2:15" x14ac:dyDescent="0.25">
      <c r="E31" s="116" t="s">
        <v>118</v>
      </c>
      <c r="F31" s="160" t="s">
        <v>123</v>
      </c>
      <c r="G31" s="160"/>
      <c r="H31" s="160"/>
      <c r="I31" s="161"/>
      <c r="J31" s="107"/>
    </row>
    <row r="32" spans="2:15" ht="15" customHeight="1" x14ac:dyDescent="0.25">
      <c r="E32" s="117" t="s">
        <v>124</v>
      </c>
      <c r="F32" s="160" t="s">
        <v>125</v>
      </c>
      <c r="G32" s="160"/>
      <c r="H32" s="160"/>
      <c r="I32" s="161"/>
    </row>
    <row r="38" spans="6:7" x14ac:dyDescent="0.25">
      <c r="G38" s="39" t="s">
        <v>80</v>
      </c>
    </row>
    <row r="40" spans="6:7" x14ac:dyDescent="0.25">
      <c r="F40" s="39" t="s">
        <v>80</v>
      </c>
    </row>
  </sheetData>
  <dataConsolidate/>
  <mergeCells count="16">
    <mergeCell ref="M1:O2"/>
    <mergeCell ref="F21:I21"/>
    <mergeCell ref="F28:I29"/>
    <mergeCell ref="F30:I30"/>
    <mergeCell ref="E28:E29"/>
    <mergeCell ref="E20:I20"/>
    <mergeCell ref="E27:I27"/>
    <mergeCell ref="F22:I22"/>
    <mergeCell ref="F23:I23"/>
    <mergeCell ref="F24:I24"/>
    <mergeCell ref="F25:I25"/>
    <mergeCell ref="F32:I32"/>
    <mergeCell ref="F31:I31"/>
    <mergeCell ref="G7:H7"/>
    <mergeCell ref="E8:F9"/>
    <mergeCell ref="E7:F7"/>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CW1846"/>
  <sheetViews>
    <sheetView tabSelected="1" zoomScaleNormal="100" workbookViewId="0">
      <pane ySplit="3" topLeftCell="A4" activePane="bottomLeft" state="frozen"/>
      <selection activeCell="K1" sqref="K1"/>
      <selection pane="bottomLeft" activeCell="D2" sqref="D1:D2"/>
    </sheetView>
  </sheetViews>
  <sheetFormatPr baseColWidth="10" defaultColWidth="11.42578125" defaultRowHeight="12.75" x14ac:dyDescent="0.2"/>
  <cols>
    <col min="1" max="1" width="17.28515625" style="22" customWidth="1"/>
    <col min="2" max="2" width="11.7109375" style="1" bestFit="1" customWidth="1"/>
    <col min="3" max="4" width="15.5703125" style="19" customWidth="1"/>
    <col min="5" max="5" width="12.140625" style="127" customWidth="1"/>
    <col min="6" max="6" width="10.7109375" style="16" customWidth="1"/>
    <col min="7" max="7" width="9.85546875" style="16" customWidth="1"/>
    <col min="8" max="8" width="8.42578125" style="17" customWidth="1"/>
    <col min="9" max="9" width="9.85546875" style="18" customWidth="1"/>
    <col min="10" max="10" width="8.42578125" style="128" customWidth="1"/>
    <col min="11" max="11" width="10.85546875" style="125" customWidth="1"/>
    <col min="12" max="12" width="9.85546875" style="132" customWidth="1"/>
    <col min="13" max="13" width="9.85546875" style="134" hidden="1" customWidth="1"/>
    <col min="14" max="14" width="10.28515625" style="101" customWidth="1"/>
    <col min="15" max="15" width="7.85546875" style="101" customWidth="1"/>
    <col min="16" max="16" width="74.5703125" style="101" bestFit="1" customWidth="1"/>
    <col min="17" max="17" width="9" style="102" customWidth="1"/>
    <col min="18" max="18" width="7.5703125" style="103" customWidth="1"/>
    <col min="19" max="19" width="74.5703125" style="104" bestFit="1" customWidth="1"/>
    <col min="20" max="20" width="10.42578125" style="21" customWidth="1"/>
    <col min="21" max="21" width="13.7109375" style="20" customWidth="1"/>
    <col min="22" max="22" width="9.140625" style="60" customWidth="1"/>
    <col min="23" max="26" width="10.5703125" style="60" customWidth="1"/>
    <col min="27" max="28" width="17" style="130" bestFit="1" customWidth="1"/>
    <col min="29" max="29" width="5.42578125" style="130" customWidth="1"/>
    <col min="30" max="30" width="20.140625" style="90" customWidth="1"/>
    <col min="31" max="31" width="15.28515625" style="90" customWidth="1"/>
    <col min="32" max="32" width="6.42578125" style="90" customWidth="1"/>
    <col min="33" max="33" width="10" style="90" customWidth="1"/>
    <col min="34" max="35" width="12.5703125" style="90" customWidth="1"/>
    <col min="36" max="36" width="8.7109375" style="60" customWidth="1"/>
    <col min="37" max="37" width="6.5703125" style="60" customWidth="1"/>
    <col min="38" max="38" width="12" style="60" customWidth="1"/>
    <col min="39" max="39" width="7.42578125" style="60" customWidth="1"/>
    <col min="40" max="40" width="9.85546875" style="60" customWidth="1"/>
    <col min="41" max="41" width="11.5703125" style="60" customWidth="1"/>
    <col min="42" max="42" width="10.5703125" style="60" customWidth="1"/>
    <col min="43" max="43" width="5.7109375" style="60" customWidth="1"/>
    <col min="44" max="44" width="9.7109375" style="60" bestFit="1" customWidth="1"/>
    <col min="45" max="45" width="31.5703125" style="60" bestFit="1" customWidth="1"/>
    <col min="46" max="46" width="18.85546875" style="60" bestFit="1" customWidth="1"/>
    <col min="47" max="47" width="7.5703125" style="60" customWidth="1"/>
    <col min="48" max="48" width="8.28515625" style="60" customWidth="1"/>
    <col min="49" max="49" width="11.42578125" style="60" customWidth="1"/>
    <col min="50" max="50" width="19.28515625" style="60" bestFit="1" customWidth="1"/>
    <col min="51" max="52" width="6" style="60" customWidth="1"/>
    <col min="53" max="53" width="9.7109375" style="60" bestFit="1" customWidth="1"/>
    <col min="54" max="54" width="36.42578125" style="60" bestFit="1" customWidth="1"/>
    <col min="55" max="55" width="18.85546875" style="60" bestFit="1" customWidth="1"/>
    <col min="56" max="56" width="6" style="60" customWidth="1"/>
    <col min="57" max="57" width="8" style="60" customWidth="1"/>
    <col min="58" max="58" width="9.5703125" style="60" customWidth="1"/>
    <col min="59" max="59" width="19.28515625" style="60" bestFit="1" customWidth="1"/>
    <col min="60" max="60" width="7.5703125" style="60" customWidth="1"/>
    <col min="61" max="61" width="11.42578125" style="60" customWidth="1"/>
    <col min="62" max="62" width="8" style="60" customWidth="1"/>
    <col min="63" max="64" width="6" style="60" customWidth="1"/>
    <col min="65" max="65" width="7.140625" style="60" customWidth="1"/>
    <col min="66" max="66" width="6.28515625" style="60" customWidth="1"/>
    <col min="67" max="69" width="7.28515625" style="60" customWidth="1"/>
    <col min="70" max="70" width="11.42578125" style="60" customWidth="1"/>
    <col min="71" max="101" width="11.42578125" style="70"/>
    <col min="102" max="16384" width="11.42578125" style="1"/>
  </cols>
  <sheetData>
    <row r="1" spans="1:101" ht="32.25" customHeight="1" x14ac:dyDescent="0.2">
      <c r="A1" s="26"/>
      <c r="B1" s="26"/>
      <c r="C1" s="136" t="s">
        <v>163</v>
      </c>
      <c r="D1" s="137"/>
      <c r="E1" s="34" t="s">
        <v>66</v>
      </c>
      <c r="F1" s="23"/>
      <c r="G1" s="35"/>
      <c r="H1" s="25"/>
      <c r="I1" s="23"/>
      <c r="J1" s="121"/>
      <c r="K1" s="123"/>
      <c r="L1" s="126"/>
      <c r="M1" s="126"/>
      <c r="N1" s="25"/>
      <c r="O1" s="25"/>
      <c r="P1" s="24"/>
      <c r="Q1" s="35"/>
      <c r="R1" s="69"/>
      <c r="S1" s="29"/>
      <c r="T1" s="30"/>
      <c r="U1" s="31"/>
      <c r="V1" s="179" t="s">
        <v>94</v>
      </c>
      <c r="W1" s="180"/>
      <c r="X1" s="180"/>
      <c r="Y1" s="180"/>
      <c r="Z1" s="180"/>
      <c r="AA1" s="181"/>
      <c r="AB1" s="181"/>
      <c r="AC1" s="181"/>
      <c r="AD1" s="181"/>
      <c r="AE1" s="181"/>
      <c r="AF1" s="181"/>
      <c r="AG1" s="181"/>
      <c r="AH1" s="181"/>
      <c r="AI1" s="181"/>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180"/>
      <c r="BN1" s="180"/>
      <c r="BO1" s="180"/>
      <c r="BP1" s="180"/>
      <c r="BQ1" s="180"/>
      <c r="BR1" s="182"/>
    </row>
    <row r="2" spans="1:101" ht="18" customHeight="1" x14ac:dyDescent="0.2">
      <c r="A2" s="26"/>
      <c r="B2" s="26"/>
      <c r="C2" s="26"/>
      <c r="D2" s="26"/>
      <c r="E2" s="34"/>
      <c r="F2" s="23"/>
      <c r="G2" s="35"/>
      <c r="H2" s="183" t="s">
        <v>129</v>
      </c>
      <c r="I2" s="184"/>
      <c r="J2" s="194" t="s">
        <v>130</v>
      </c>
      <c r="K2" s="195"/>
      <c r="L2" s="196"/>
      <c r="M2" s="197"/>
      <c r="N2" s="185" t="s">
        <v>131</v>
      </c>
      <c r="O2" s="186"/>
      <c r="P2" s="186"/>
      <c r="Q2" s="187" t="s">
        <v>132</v>
      </c>
      <c r="R2" s="188"/>
      <c r="S2" s="188"/>
      <c r="T2" s="30"/>
      <c r="U2" s="30"/>
      <c r="V2" s="120"/>
      <c r="W2" s="120"/>
      <c r="X2" s="120"/>
      <c r="Y2" s="120"/>
      <c r="Z2" s="120"/>
      <c r="AA2" s="189" t="s">
        <v>140</v>
      </c>
      <c r="AB2" s="190"/>
      <c r="AC2" s="190"/>
      <c r="AD2" s="190"/>
      <c r="AE2" s="190"/>
      <c r="AF2" s="190"/>
      <c r="AG2" s="190"/>
      <c r="AH2" s="190"/>
      <c r="AI2" s="190"/>
      <c r="AJ2" s="190"/>
      <c r="AK2" s="190"/>
      <c r="AL2" s="190"/>
      <c r="AM2" s="191"/>
      <c r="AN2" s="192" t="s">
        <v>159</v>
      </c>
      <c r="AO2" s="193"/>
      <c r="AP2" s="193"/>
      <c r="AQ2" s="177" t="s">
        <v>131</v>
      </c>
      <c r="AR2" s="177"/>
      <c r="AS2" s="177"/>
      <c r="AT2" s="177"/>
      <c r="AU2" s="177"/>
      <c r="AV2" s="177"/>
      <c r="AW2" s="177"/>
      <c r="AX2" s="177"/>
      <c r="AY2" s="178"/>
      <c r="AZ2" s="175" t="s">
        <v>132</v>
      </c>
      <c r="BA2" s="175"/>
      <c r="BB2" s="175"/>
      <c r="BC2" s="175"/>
      <c r="BD2" s="175"/>
      <c r="BE2" s="175"/>
      <c r="BF2" s="175"/>
      <c r="BG2" s="175"/>
      <c r="BH2" s="176"/>
      <c r="BI2" s="120"/>
      <c r="BJ2" s="120"/>
      <c r="BK2" s="120"/>
      <c r="BL2" s="120"/>
      <c r="BM2" s="120"/>
      <c r="BN2" s="120"/>
      <c r="BO2" s="120"/>
      <c r="BP2" s="131"/>
      <c r="BQ2" s="138"/>
      <c r="BR2" s="120"/>
    </row>
    <row r="3" spans="1:101" s="15" customFormat="1" ht="31.5" customHeight="1" x14ac:dyDescent="0.2">
      <c r="A3" s="32" t="s">
        <v>67</v>
      </c>
      <c r="B3" s="32" t="s">
        <v>54</v>
      </c>
      <c r="C3" s="33" t="s">
        <v>56</v>
      </c>
      <c r="D3" s="33" t="s">
        <v>57</v>
      </c>
      <c r="E3" s="27" t="s">
        <v>139</v>
      </c>
      <c r="F3" s="28" t="s">
        <v>69</v>
      </c>
      <c r="G3" s="28" t="s">
        <v>68</v>
      </c>
      <c r="H3" s="28" t="s">
        <v>71</v>
      </c>
      <c r="I3" s="28" t="s">
        <v>70</v>
      </c>
      <c r="J3" s="122" t="s">
        <v>136</v>
      </c>
      <c r="K3" s="124" t="s">
        <v>137</v>
      </c>
      <c r="L3" s="135" t="s">
        <v>138</v>
      </c>
      <c r="M3" s="133" t="s">
        <v>162</v>
      </c>
      <c r="N3" s="89" t="s">
        <v>133</v>
      </c>
      <c r="O3" s="89" t="s">
        <v>134</v>
      </c>
      <c r="P3" s="119" t="s">
        <v>135</v>
      </c>
      <c r="Q3" s="68" t="s">
        <v>133</v>
      </c>
      <c r="R3" s="68" t="s">
        <v>134</v>
      </c>
      <c r="S3" s="119" t="s">
        <v>135</v>
      </c>
      <c r="T3" s="28" t="s">
        <v>151</v>
      </c>
      <c r="U3" s="28" t="s">
        <v>65</v>
      </c>
      <c r="V3" s="58" t="s">
        <v>89</v>
      </c>
      <c r="W3" s="59" t="s">
        <v>90</v>
      </c>
      <c r="X3" s="59" t="s">
        <v>126</v>
      </c>
      <c r="Y3" s="59" t="s">
        <v>127</v>
      </c>
      <c r="Z3" s="59" t="s">
        <v>128</v>
      </c>
      <c r="AA3" s="59" t="s">
        <v>133</v>
      </c>
      <c r="AB3" s="59" t="s">
        <v>134</v>
      </c>
      <c r="AC3" s="59" t="s">
        <v>142</v>
      </c>
      <c r="AD3" s="59" t="s">
        <v>141</v>
      </c>
      <c r="AE3" s="59" t="s">
        <v>143</v>
      </c>
      <c r="AF3" s="59" t="s">
        <v>144</v>
      </c>
      <c r="AG3" s="59" t="s">
        <v>145</v>
      </c>
      <c r="AH3" s="59" t="s">
        <v>148</v>
      </c>
      <c r="AI3" s="59" t="s">
        <v>135</v>
      </c>
      <c r="AJ3" s="59" t="s">
        <v>147</v>
      </c>
      <c r="AK3" s="59" t="s">
        <v>149</v>
      </c>
      <c r="AL3" s="59" t="s">
        <v>150</v>
      </c>
      <c r="AM3" s="59" t="s">
        <v>146</v>
      </c>
      <c r="AN3" s="59" t="s">
        <v>91</v>
      </c>
      <c r="AO3" s="59" t="s">
        <v>92</v>
      </c>
      <c r="AP3" s="59" t="s">
        <v>93</v>
      </c>
      <c r="AQ3" s="59" t="s">
        <v>146</v>
      </c>
      <c r="AR3" s="59" t="s">
        <v>142</v>
      </c>
      <c r="AS3" s="59" t="s">
        <v>141</v>
      </c>
      <c r="AT3" s="59" t="s">
        <v>143</v>
      </c>
      <c r="AU3" s="59" t="s">
        <v>144</v>
      </c>
      <c r="AV3" s="59" t="s">
        <v>145</v>
      </c>
      <c r="AW3" s="59" t="s">
        <v>148</v>
      </c>
      <c r="AX3" s="59" t="s">
        <v>158</v>
      </c>
      <c r="AY3" s="67" t="s">
        <v>147</v>
      </c>
      <c r="AZ3" s="59" t="s">
        <v>146</v>
      </c>
      <c r="BA3" s="59" t="s">
        <v>142</v>
      </c>
      <c r="BB3" s="59" t="s">
        <v>141</v>
      </c>
      <c r="BC3" s="59" t="s">
        <v>143</v>
      </c>
      <c r="BD3" s="59" t="s">
        <v>144</v>
      </c>
      <c r="BE3" s="59" t="s">
        <v>145</v>
      </c>
      <c r="BF3" s="59" t="s">
        <v>148</v>
      </c>
      <c r="BG3" s="59" t="s">
        <v>158</v>
      </c>
      <c r="BH3" s="67" t="s">
        <v>147</v>
      </c>
      <c r="BI3" s="59" t="s">
        <v>161</v>
      </c>
      <c r="BJ3" s="59" t="s">
        <v>152</v>
      </c>
      <c r="BK3" s="59" t="s">
        <v>153</v>
      </c>
      <c r="BL3" s="59" t="s">
        <v>156</v>
      </c>
      <c r="BM3" s="59" t="s">
        <v>157</v>
      </c>
      <c r="BN3" s="59" t="s">
        <v>154</v>
      </c>
      <c r="BO3" s="59" t="s">
        <v>155</v>
      </c>
      <c r="BP3" s="59" t="s">
        <v>160</v>
      </c>
      <c r="BQ3" s="59" t="s">
        <v>165</v>
      </c>
      <c r="BR3" s="59" t="s">
        <v>95</v>
      </c>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c r="CV3" s="71"/>
      <c r="CW3" s="71"/>
    </row>
    <row r="4" spans="1:101" x14ac:dyDescent="0.2">
      <c r="L4" s="129"/>
      <c r="M4" s="132"/>
    </row>
    <row r="5" spans="1:101" x14ac:dyDescent="0.2">
      <c r="L5" s="129"/>
      <c r="M5" s="132"/>
    </row>
    <row r="6" spans="1:101" x14ac:dyDescent="0.2">
      <c r="L6" s="129"/>
      <c r="M6" s="132"/>
    </row>
    <row r="7" spans="1:101" x14ac:dyDescent="0.2">
      <c r="L7" s="129"/>
      <c r="M7" s="132"/>
    </row>
    <row r="8" spans="1:101" s="105" customFormat="1" x14ac:dyDescent="0.2">
      <c r="A8" s="22"/>
      <c r="B8" s="1"/>
      <c r="C8" s="19"/>
      <c r="D8" s="19"/>
      <c r="E8" s="127"/>
      <c r="F8" s="16"/>
      <c r="G8" s="16"/>
      <c r="H8" s="17"/>
      <c r="I8" s="18"/>
      <c r="J8" s="128"/>
      <c r="K8" s="125"/>
      <c r="L8" s="129"/>
      <c r="M8" s="132"/>
      <c r="N8" s="101"/>
      <c r="O8" s="101"/>
      <c r="P8" s="101"/>
      <c r="Q8" s="102"/>
      <c r="R8" s="103"/>
      <c r="S8" s="104"/>
      <c r="T8" s="21"/>
      <c r="U8" s="20"/>
      <c r="V8" s="60"/>
      <c r="W8" s="60"/>
      <c r="X8" s="60"/>
      <c r="Y8" s="60"/>
      <c r="Z8" s="60"/>
      <c r="AA8" s="130"/>
      <c r="AB8" s="130"/>
      <c r="AC8" s="130"/>
      <c r="AD8" s="90"/>
      <c r="AE8" s="90"/>
      <c r="AF8" s="90"/>
      <c r="AG8" s="90"/>
      <c r="AH8" s="90"/>
      <c r="AI8" s="9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106"/>
      <c r="BT8" s="106"/>
      <c r="BU8" s="106"/>
      <c r="BV8" s="106"/>
      <c r="BW8" s="106"/>
      <c r="BX8" s="106"/>
      <c r="BY8" s="106"/>
      <c r="BZ8" s="106"/>
      <c r="CA8" s="106"/>
      <c r="CB8" s="106"/>
      <c r="CC8" s="106"/>
      <c r="CD8" s="106"/>
      <c r="CE8" s="106"/>
      <c r="CF8" s="106"/>
      <c r="CG8" s="106"/>
      <c r="CH8" s="106"/>
      <c r="CI8" s="106"/>
      <c r="CJ8" s="106"/>
      <c r="CK8" s="106"/>
      <c r="CL8" s="106"/>
      <c r="CM8" s="106"/>
      <c r="CN8" s="106"/>
      <c r="CO8" s="106"/>
      <c r="CP8" s="106"/>
      <c r="CQ8" s="106"/>
      <c r="CR8" s="106"/>
      <c r="CS8" s="106"/>
      <c r="CT8" s="106"/>
      <c r="CU8" s="106"/>
      <c r="CV8" s="106"/>
      <c r="CW8" s="106"/>
    </row>
    <row r="9" spans="1:101" x14ac:dyDescent="0.2">
      <c r="L9" s="129"/>
      <c r="M9" s="132"/>
    </row>
    <row r="10" spans="1:101" x14ac:dyDescent="0.2">
      <c r="L10" s="129"/>
      <c r="M10" s="132"/>
    </row>
    <row r="11" spans="1:101" x14ac:dyDescent="0.2">
      <c r="L11" s="129"/>
      <c r="M11" s="132"/>
    </row>
    <row r="12" spans="1:101" x14ac:dyDescent="0.2">
      <c r="L12" s="129"/>
      <c r="M12" s="132"/>
    </row>
    <row r="13" spans="1:101" x14ac:dyDescent="0.2">
      <c r="L13" s="129"/>
      <c r="M13" s="132"/>
    </row>
    <row r="14" spans="1:101" x14ac:dyDescent="0.2">
      <c r="L14" s="129"/>
      <c r="M14" s="132"/>
    </row>
    <row r="15" spans="1:101" x14ac:dyDescent="0.2">
      <c r="L15" s="129"/>
      <c r="M15" s="132"/>
    </row>
    <row r="16" spans="1:101" x14ac:dyDescent="0.2">
      <c r="L16" s="129"/>
      <c r="M16" s="132"/>
    </row>
    <row r="17" spans="12:13" x14ac:dyDescent="0.2">
      <c r="L17" s="129"/>
      <c r="M17" s="132"/>
    </row>
    <row r="18" spans="12:13" x14ac:dyDescent="0.2">
      <c r="L18" s="129"/>
      <c r="M18" s="132"/>
    </row>
    <row r="19" spans="12:13" x14ac:dyDescent="0.2">
      <c r="L19" s="129"/>
      <c r="M19" s="132"/>
    </row>
    <row r="20" spans="12:13" x14ac:dyDescent="0.2">
      <c r="L20" s="129"/>
      <c r="M20" s="132"/>
    </row>
    <row r="21" spans="12:13" x14ac:dyDescent="0.2">
      <c r="L21" s="129"/>
      <c r="M21" s="132"/>
    </row>
    <row r="22" spans="12:13" x14ac:dyDescent="0.2">
      <c r="L22" s="129"/>
      <c r="M22" s="132"/>
    </row>
    <row r="23" spans="12:13" x14ac:dyDescent="0.2">
      <c r="L23" s="129"/>
      <c r="M23" s="132"/>
    </row>
    <row r="24" spans="12:13" x14ac:dyDescent="0.2">
      <c r="L24" s="129"/>
      <c r="M24" s="132"/>
    </row>
    <row r="25" spans="12:13" x14ac:dyDescent="0.2">
      <c r="L25" s="129"/>
      <c r="M25" s="132"/>
    </row>
    <row r="26" spans="12:13" x14ac:dyDescent="0.2">
      <c r="L26" s="129"/>
      <c r="M26" s="132"/>
    </row>
    <row r="27" spans="12:13" x14ac:dyDescent="0.2">
      <c r="L27" s="129"/>
      <c r="M27" s="132"/>
    </row>
    <row r="28" spans="12:13" x14ac:dyDescent="0.2">
      <c r="L28" s="129"/>
      <c r="M28" s="132"/>
    </row>
    <row r="29" spans="12:13" x14ac:dyDescent="0.2">
      <c r="L29" s="129"/>
      <c r="M29" s="132"/>
    </row>
    <row r="30" spans="12:13" x14ac:dyDescent="0.2">
      <c r="L30" s="129"/>
      <c r="M30" s="132"/>
    </row>
    <row r="31" spans="12:13" x14ac:dyDescent="0.2">
      <c r="L31" s="129"/>
      <c r="M31" s="132"/>
    </row>
    <row r="32" spans="12:13" x14ac:dyDescent="0.2">
      <c r="L32" s="129"/>
      <c r="M32" s="132"/>
    </row>
    <row r="33" spans="12:13" x14ac:dyDescent="0.2">
      <c r="L33" s="129"/>
      <c r="M33" s="132"/>
    </row>
    <row r="34" spans="12:13" x14ac:dyDescent="0.2">
      <c r="L34" s="129"/>
      <c r="M34" s="132"/>
    </row>
    <row r="35" spans="12:13" x14ac:dyDescent="0.2">
      <c r="L35" s="129"/>
      <c r="M35" s="132"/>
    </row>
    <row r="36" spans="12:13" x14ac:dyDescent="0.2">
      <c r="L36" s="129"/>
      <c r="M36" s="132"/>
    </row>
    <row r="37" spans="12:13" x14ac:dyDescent="0.2">
      <c r="L37" s="129"/>
      <c r="M37" s="132"/>
    </row>
    <row r="38" spans="12:13" x14ac:dyDescent="0.2">
      <c r="L38" s="129"/>
      <c r="M38" s="132"/>
    </row>
    <row r="39" spans="12:13" x14ac:dyDescent="0.2">
      <c r="L39" s="129"/>
      <c r="M39" s="132"/>
    </row>
    <row r="40" spans="12:13" x14ac:dyDescent="0.2">
      <c r="L40" s="129"/>
      <c r="M40" s="132"/>
    </row>
    <row r="41" spans="12:13" x14ac:dyDescent="0.2">
      <c r="L41" s="129"/>
      <c r="M41" s="132"/>
    </row>
    <row r="42" spans="12:13" x14ac:dyDescent="0.2">
      <c r="L42" s="129"/>
      <c r="M42" s="132"/>
    </row>
    <row r="43" spans="12:13" x14ac:dyDescent="0.2">
      <c r="L43" s="129"/>
      <c r="M43" s="132"/>
    </row>
    <row r="44" spans="12:13" x14ac:dyDescent="0.2">
      <c r="L44" s="129"/>
      <c r="M44" s="132"/>
    </row>
    <row r="45" spans="12:13" x14ac:dyDescent="0.2">
      <c r="L45" s="129"/>
      <c r="M45" s="132"/>
    </row>
    <row r="46" spans="12:13" x14ac:dyDescent="0.2">
      <c r="L46" s="129"/>
      <c r="M46" s="132"/>
    </row>
    <row r="47" spans="12:13" x14ac:dyDescent="0.2">
      <c r="L47" s="129"/>
      <c r="M47" s="132"/>
    </row>
    <row r="48" spans="12:13" x14ac:dyDescent="0.2">
      <c r="L48" s="129"/>
      <c r="M48" s="132"/>
    </row>
    <row r="49" spans="12:13" x14ac:dyDescent="0.2">
      <c r="L49" s="129"/>
      <c r="M49" s="132"/>
    </row>
    <row r="50" spans="12:13" x14ac:dyDescent="0.2">
      <c r="L50" s="129"/>
      <c r="M50" s="132"/>
    </row>
    <row r="51" spans="12:13" x14ac:dyDescent="0.2">
      <c r="L51" s="129"/>
      <c r="M51" s="132"/>
    </row>
    <row r="52" spans="12:13" x14ac:dyDescent="0.2">
      <c r="L52" s="129"/>
      <c r="M52" s="132"/>
    </row>
    <row r="53" spans="12:13" x14ac:dyDescent="0.2">
      <c r="L53" s="129"/>
      <c r="M53" s="132"/>
    </row>
    <row r="54" spans="12:13" x14ac:dyDescent="0.2">
      <c r="L54" s="129"/>
      <c r="M54" s="132"/>
    </row>
    <row r="55" spans="12:13" x14ac:dyDescent="0.2">
      <c r="L55" s="129"/>
      <c r="M55" s="132"/>
    </row>
    <row r="56" spans="12:13" x14ac:dyDescent="0.2">
      <c r="L56" s="129"/>
      <c r="M56" s="132"/>
    </row>
    <row r="57" spans="12:13" x14ac:dyDescent="0.2">
      <c r="L57" s="129"/>
      <c r="M57" s="132"/>
    </row>
    <row r="58" spans="12:13" x14ac:dyDescent="0.2">
      <c r="L58" s="129"/>
      <c r="M58" s="132"/>
    </row>
    <row r="59" spans="12:13" x14ac:dyDescent="0.2">
      <c r="L59" s="129"/>
      <c r="M59" s="132"/>
    </row>
    <row r="60" spans="12:13" x14ac:dyDescent="0.2">
      <c r="L60" s="129"/>
      <c r="M60" s="132"/>
    </row>
    <row r="61" spans="12:13" x14ac:dyDescent="0.2">
      <c r="L61" s="129"/>
      <c r="M61" s="132"/>
    </row>
    <row r="62" spans="12:13" x14ac:dyDescent="0.2">
      <c r="L62" s="129"/>
      <c r="M62" s="132"/>
    </row>
    <row r="63" spans="12:13" x14ac:dyDescent="0.2">
      <c r="L63" s="129"/>
      <c r="M63" s="132"/>
    </row>
    <row r="64" spans="12:13" x14ac:dyDescent="0.2">
      <c r="L64" s="129"/>
      <c r="M64" s="132"/>
    </row>
    <row r="65" spans="12:13" x14ac:dyDescent="0.2">
      <c r="L65" s="129"/>
      <c r="M65" s="132"/>
    </row>
    <row r="66" spans="12:13" x14ac:dyDescent="0.2">
      <c r="L66" s="129"/>
      <c r="M66" s="132"/>
    </row>
    <row r="67" spans="12:13" x14ac:dyDescent="0.2">
      <c r="L67" s="129"/>
      <c r="M67" s="132"/>
    </row>
    <row r="68" spans="12:13" x14ac:dyDescent="0.2">
      <c r="L68" s="129"/>
      <c r="M68" s="132"/>
    </row>
    <row r="69" spans="12:13" x14ac:dyDescent="0.2">
      <c r="L69" s="129"/>
      <c r="M69" s="132"/>
    </row>
    <row r="70" spans="12:13" x14ac:dyDescent="0.2">
      <c r="L70" s="129"/>
      <c r="M70" s="132"/>
    </row>
    <row r="71" spans="12:13" x14ac:dyDescent="0.2">
      <c r="L71" s="129"/>
      <c r="M71" s="132"/>
    </row>
    <row r="72" spans="12:13" x14ac:dyDescent="0.2">
      <c r="L72" s="129"/>
      <c r="M72" s="132"/>
    </row>
    <row r="73" spans="12:13" x14ac:dyDescent="0.2">
      <c r="L73" s="129"/>
      <c r="M73" s="132"/>
    </row>
    <row r="74" spans="12:13" x14ac:dyDescent="0.2">
      <c r="L74" s="129"/>
      <c r="M74" s="132"/>
    </row>
    <row r="75" spans="12:13" x14ac:dyDescent="0.2">
      <c r="L75" s="129"/>
      <c r="M75" s="132"/>
    </row>
    <row r="76" spans="12:13" x14ac:dyDescent="0.2">
      <c r="L76" s="129"/>
      <c r="M76" s="132"/>
    </row>
    <row r="77" spans="12:13" x14ac:dyDescent="0.2">
      <c r="L77" s="129"/>
      <c r="M77" s="132"/>
    </row>
    <row r="78" spans="12:13" x14ac:dyDescent="0.2">
      <c r="L78" s="129"/>
      <c r="M78" s="132"/>
    </row>
    <row r="79" spans="12:13" x14ac:dyDescent="0.2">
      <c r="L79" s="129"/>
      <c r="M79" s="132"/>
    </row>
    <row r="80" spans="12:13" x14ac:dyDescent="0.2">
      <c r="L80" s="129"/>
      <c r="M80" s="132"/>
    </row>
    <row r="81" spans="12:13" x14ac:dyDescent="0.2">
      <c r="L81" s="129"/>
      <c r="M81" s="132"/>
    </row>
    <row r="82" spans="12:13" x14ac:dyDescent="0.2">
      <c r="L82" s="129"/>
      <c r="M82" s="132"/>
    </row>
    <row r="83" spans="12:13" x14ac:dyDescent="0.2">
      <c r="L83" s="129"/>
      <c r="M83" s="132"/>
    </row>
    <row r="84" spans="12:13" x14ac:dyDescent="0.2">
      <c r="L84" s="129"/>
      <c r="M84" s="132"/>
    </row>
    <row r="85" spans="12:13" x14ac:dyDescent="0.2">
      <c r="L85" s="129"/>
      <c r="M85" s="132"/>
    </row>
    <row r="86" spans="12:13" x14ac:dyDescent="0.2">
      <c r="L86" s="129"/>
      <c r="M86" s="132"/>
    </row>
    <row r="87" spans="12:13" x14ac:dyDescent="0.2">
      <c r="L87" s="129"/>
      <c r="M87" s="132"/>
    </row>
    <row r="88" spans="12:13" x14ac:dyDescent="0.2">
      <c r="L88" s="129"/>
      <c r="M88" s="132"/>
    </row>
    <row r="89" spans="12:13" x14ac:dyDescent="0.2">
      <c r="L89" s="129"/>
      <c r="M89" s="132"/>
    </row>
    <row r="90" spans="12:13" x14ac:dyDescent="0.2">
      <c r="L90" s="129"/>
      <c r="M90" s="132"/>
    </row>
    <row r="91" spans="12:13" x14ac:dyDescent="0.2">
      <c r="L91" s="129"/>
      <c r="M91" s="132"/>
    </row>
    <row r="92" spans="12:13" x14ac:dyDescent="0.2">
      <c r="L92" s="129"/>
      <c r="M92" s="132"/>
    </row>
    <row r="93" spans="12:13" x14ac:dyDescent="0.2">
      <c r="L93" s="129"/>
      <c r="M93" s="132"/>
    </row>
    <row r="94" spans="12:13" x14ac:dyDescent="0.2">
      <c r="L94" s="129"/>
      <c r="M94" s="132"/>
    </row>
    <row r="95" spans="12:13" x14ac:dyDescent="0.2">
      <c r="L95" s="129"/>
      <c r="M95" s="132"/>
    </row>
    <row r="96" spans="12:13" x14ac:dyDescent="0.2">
      <c r="L96" s="129"/>
      <c r="M96" s="132"/>
    </row>
    <row r="97" spans="12:13" x14ac:dyDescent="0.2">
      <c r="L97" s="129"/>
      <c r="M97" s="132"/>
    </row>
    <row r="98" spans="12:13" x14ac:dyDescent="0.2">
      <c r="L98" s="129"/>
      <c r="M98" s="132"/>
    </row>
    <row r="99" spans="12:13" x14ac:dyDescent="0.2">
      <c r="L99" s="129"/>
      <c r="M99" s="132"/>
    </row>
    <row r="100" spans="12:13" x14ac:dyDescent="0.2">
      <c r="L100" s="129"/>
      <c r="M100" s="132"/>
    </row>
    <row r="101" spans="12:13" x14ac:dyDescent="0.2">
      <c r="L101" s="129"/>
      <c r="M101" s="132"/>
    </row>
    <row r="102" spans="12:13" x14ac:dyDescent="0.2">
      <c r="L102" s="129"/>
      <c r="M102" s="132"/>
    </row>
    <row r="103" spans="12:13" x14ac:dyDescent="0.2">
      <c r="L103" s="129"/>
      <c r="M103" s="132"/>
    </row>
    <row r="104" spans="12:13" x14ac:dyDescent="0.2">
      <c r="L104" s="129"/>
      <c r="M104" s="132"/>
    </row>
    <row r="105" spans="12:13" x14ac:dyDescent="0.2">
      <c r="L105" s="129"/>
      <c r="M105" s="132"/>
    </row>
    <row r="106" spans="12:13" x14ac:dyDescent="0.2">
      <c r="L106" s="129"/>
      <c r="M106" s="132"/>
    </row>
    <row r="107" spans="12:13" x14ac:dyDescent="0.2">
      <c r="L107" s="129"/>
      <c r="M107" s="132"/>
    </row>
    <row r="108" spans="12:13" x14ac:dyDescent="0.2">
      <c r="L108" s="129"/>
      <c r="M108" s="132"/>
    </row>
    <row r="109" spans="12:13" x14ac:dyDescent="0.2">
      <c r="L109" s="129"/>
      <c r="M109" s="132"/>
    </row>
    <row r="110" spans="12:13" x14ac:dyDescent="0.2">
      <c r="L110" s="129"/>
      <c r="M110" s="132"/>
    </row>
    <row r="111" spans="12:13" x14ac:dyDescent="0.2">
      <c r="L111" s="129"/>
      <c r="M111" s="132"/>
    </row>
    <row r="112" spans="12:13" x14ac:dyDescent="0.2">
      <c r="L112" s="129"/>
      <c r="M112" s="132"/>
    </row>
    <row r="113" spans="12:13" x14ac:dyDescent="0.2">
      <c r="L113" s="129"/>
      <c r="M113" s="132"/>
    </row>
    <row r="114" spans="12:13" x14ac:dyDescent="0.2">
      <c r="L114" s="129"/>
      <c r="M114" s="132"/>
    </row>
    <row r="115" spans="12:13" x14ac:dyDescent="0.2">
      <c r="L115" s="129"/>
      <c r="M115" s="132"/>
    </row>
    <row r="116" spans="12:13" x14ac:dyDescent="0.2">
      <c r="L116" s="129"/>
      <c r="M116" s="132"/>
    </row>
    <row r="117" spans="12:13" x14ac:dyDescent="0.2">
      <c r="L117" s="129"/>
      <c r="M117" s="132"/>
    </row>
    <row r="118" spans="12:13" x14ac:dyDescent="0.2">
      <c r="L118" s="129"/>
      <c r="M118" s="132"/>
    </row>
    <row r="119" spans="12:13" x14ac:dyDescent="0.2">
      <c r="L119" s="129"/>
      <c r="M119" s="132"/>
    </row>
    <row r="120" spans="12:13" x14ac:dyDescent="0.2">
      <c r="L120" s="129"/>
      <c r="M120" s="132"/>
    </row>
    <row r="121" spans="12:13" x14ac:dyDescent="0.2">
      <c r="L121" s="129"/>
      <c r="M121" s="132"/>
    </row>
    <row r="122" spans="12:13" x14ac:dyDescent="0.2">
      <c r="L122" s="129"/>
      <c r="M122" s="132"/>
    </row>
    <row r="123" spans="12:13" x14ac:dyDescent="0.2">
      <c r="L123" s="129"/>
      <c r="M123" s="132"/>
    </row>
    <row r="124" spans="12:13" x14ac:dyDescent="0.2">
      <c r="L124" s="129"/>
      <c r="M124" s="132"/>
    </row>
    <row r="125" spans="12:13" x14ac:dyDescent="0.2">
      <c r="L125" s="129"/>
      <c r="M125" s="132"/>
    </row>
    <row r="126" spans="12:13" x14ac:dyDescent="0.2">
      <c r="L126" s="129"/>
      <c r="M126" s="132"/>
    </row>
    <row r="127" spans="12:13" x14ac:dyDescent="0.2">
      <c r="L127" s="129"/>
      <c r="M127" s="132"/>
    </row>
    <row r="128" spans="12:13" x14ac:dyDescent="0.2">
      <c r="L128" s="129"/>
      <c r="M128" s="132"/>
    </row>
    <row r="129" spans="12:13" x14ac:dyDescent="0.2">
      <c r="L129" s="129"/>
      <c r="M129" s="132"/>
    </row>
    <row r="130" spans="12:13" x14ac:dyDescent="0.2">
      <c r="L130" s="129"/>
      <c r="M130" s="132"/>
    </row>
    <row r="131" spans="12:13" x14ac:dyDescent="0.2">
      <c r="L131" s="129"/>
      <c r="M131" s="132"/>
    </row>
    <row r="132" spans="12:13" x14ac:dyDescent="0.2">
      <c r="L132" s="129"/>
      <c r="M132" s="132"/>
    </row>
    <row r="133" spans="12:13" x14ac:dyDescent="0.2">
      <c r="L133" s="129"/>
      <c r="M133" s="132"/>
    </row>
    <row r="134" spans="12:13" x14ac:dyDescent="0.2">
      <c r="L134" s="129"/>
      <c r="M134" s="132"/>
    </row>
    <row r="135" spans="12:13" x14ac:dyDescent="0.2">
      <c r="L135" s="129"/>
      <c r="M135" s="132"/>
    </row>
    <row r="136" spans="12:13" x14ac:dyDescent="0.2">
      <c r="L136" s="129"/>
      <c r="M136" s="132"/>
    </row>
    <row r="137" spans="12:13" x14ac:dyDescent="0.2">
      <c r="L137" s="129"/>
      <c r="M137" s="132"/>
    </row>
    <row r="138" spans="12:13" x14ac:dyDescent="0.2">
      <c r="L138" s="129"/>
      <c r="M138" s="132"/>
    </row>
    <row r="139" spans="12:13" x14ac:dyDescent="0.2">
      <c r="L139" s="129"/>
      <c r="M139" s="132"/>
    </row>
    <row r="140" spans="12:13" x14ac:dyDescent="0.2">
      <c r="L140" s="129"/>
      <c r="M140" s="132"/>
    </row>
    <row r="141" spans="12:13" x14ac:dyDescent="0.2">
      <c r="L141" s="129"/>
      <c r="M141" s="132"/>
    </row>
    <row r="142" spans="12:13" x14ac:dyDescent="0.2">
      <c r="L142" s="129"/>
      <c r="M142" s="132"/>
    </row>
    <row r="143" spans="12:13" x14ac:dyDescent="0.2">
      <c r="L143" s="129"/>
      <c r="M143" s="132"/>
    </row>
    <row r="144" spans="12:13" x14ac:dyDescent="0.2">
      <c r="L144" s="129"/>
      <c r="M144" s="132"/>
    </row>
    <row r="145" spans="12:13" x14ac:dyDescent="0.2">
      <c r="L145" s="129"/>
      <c r="M145" s="132"/>
    </row>
    <row r="146" spans="12:13" x14ac:dyDescent="0.2">
      <c r="L146" s="129"/>
      <c r="M146" s="132"/>
    </row>
    <row r="147" spans="12:13" x14ac:dyDescent="0.2">
      <c r="L147" s="129"/>
      <c r="M147" s="132"/>
    </row>
    <row r="148" spans="12:13" x14ac:dyDescent="0.2">
      <c r="L148" s="129"/>
      <c r="M148" s="132"/>
    </row>
    <row r="149" spans="12:13" x14ac:dyDescent="0.2">
      <c r="L149" s="129"/>
      <c r="M149" s="132"/>
    </row>
    <row r="150" spans="12:13" x14ac:dyDescent="0.2">
      <c r="L150" s="129"/>
      <c r="M150" s="132"/>
    </row>
    <row r="151" spans="12:13" x14ac:dyDescent="0.2">
      <c r="L151" s="129"/>
      <c r="M151" s="132"/>
    </row>
    <row r="152" spans="12:13" x14ac:dyDescent="0.2">
      <c r="L152" s="129"/>
      <c r="M152" s="132"/>
    </row>
    <row r="153" spans="12:13" x14ac:dyDescent="0.2">
      <c r="L153" s="129"/>
      <c r="M153" s="132"/>
    </row>
    <row r="154" spans="12:13" x14ac:dyDescent="0.2">
      <c r="L154" s="129"/>
      <c r="M154" s="132"/>
    </row>
    <row r="155" spans="12:13" x14ac:dyDescent="0.2">
      <c r="L155" s="129"/>
      <c r="M155" s="132"/>
    </row>
    <row r="156" spans="12:13" x14ac:dyDescent="0.2">
      <c r="L156" s="129"/>
      <c r="M156" s="132"/>
    </row>
    <row r="157" spans="12:13" x14ac:dyDescent="0.2">
      <c r="L157" s="129"/>
      <c r="M157" s="132"/>
    </row>
    <row r="158" spans="12:13" x14ac:dyDescent="0.2">
      <c r="L158" s="129"/>
      <c r="M158" s="132"/>
    </row>
    <row r="159" spans="12:13" x14ac:dyDescent="0.2">
      <c r="L159" s="129"/>
      <c r="M159" s="132"/>
    </row>
    <row r="160" spans="12:13" x14ac:dyDescent="0.2">
      <c r="L160" s="129"/>
      <c r="M160" s="132"/>
    </row>
    <row r="161" spans="12:13" x14ac:dyDescent="0.2">
      <c r="L161" s="129"/>
      <c r="M161" s="132"/>
    </row>
    <row r="162" spans="12:13" x14ac:dyDescent="0.2">
      <c r="L162" s="129"/>
      <c r="M162" s="132"/>
    </row>
    <row r="163" spans="12:13" x14ac:dyDescent="0.2">
      <c r="L163" s="129"/>
      <c r="M163" s="132"/>
    </row>
    <row r="164" spans="12:13" x14ac:dyDescent="0.2">
      <c r="L164" s="129"/>
      <c r="M164" s="132"/>
    </row>
    <row r="165" spans="12:13" x14ac:dyDescent="0.2">
      <c r="L165" s="129"/>
      <c r="M165" s="132"/>
    </row>
    <row r="166" spans="12:13" x14ac:dyDescent="0.2">
      <c r="L166" s="129"/>
      <c r="M166" s="132"/>
    </row>
    <row r="167" spans="12:13" x14ac:dyDescent="0.2">
      <c r="L167" s="129"/>
      <c r="M167" s="132"/>
    </row>
    <row r="168" spans="12:13" x14ac:dyDescent="0.2">
      <c r="L168" s="129"/>
      <c r="M168" s="132"/>
    </row>
    <row r="169" spans="12:13" x14ac:dyDescent="0.2">
      <c r="L169" s="129"/>
      <c r="M169" s="132"/>
    </row>
    <row r="170" spans="12:13" x14ac:dyDescent="0.2">
      <c r="L170" s="129"/>
      <c r="M170" s="132"/>
    </row>
    <row r="171" spans="12:13" x14ac:dyDescent="0.2">
      <c r="L171" s="129"/>
      <c r="M171" s="132"/>
    </row>
    <row r="172" spans="12:13" x14ac:dyDescent="0.2">
      <c r="L172" s="129"/>
      <c r="M172" s="132"/>
    </row>
    <row r="173" spans="12:13" x14ac:dyDescent="0.2">
      <c r="L173" s="129"/>
      <c r="M173" s="132"/>
    </row>
    <row r="174" spans="12:13" x14ac:dyDescent="0.2">
      <c r="L174" s="129"/>
      <c r="M174" s="132"/>
    </row>
    <row r="175" spans="12:13" x14ac:dyDescent="0.2">
      <c r="L175" s="129"/>
      <c r="M175" s="132"/>
    </row>
    <row r="176" spans="12:13" x14ac:dyDescent="0.2">
      <c r="L176" s="129"/>
      <c r="M176" s="132"/>
    </row>
    <row r="177" spans="12:13" x14ac:dyDescent="0.2">
      <c r="L177" s="129"/>
      <c r="M177" s="132"/>
    </row>
    <row r="178" spans="12:13" x14ac:dyDescent="0.2">
      <c r="L178" s="129"/>
      <c r="M178" s="132"/>
    </row>
    <row r="179" spans="12:13" x14ac:dyDescent="0.2">
      <c r="L179" s="129"/>
      <c r="M179" s="132"/>
    </row>
    <row r="180" spans="12:13" x14ac:dyDescent="0.2">
      <c r="L180" s="129"/>
      <c r="M180" s="132"/>
    </row>
    <row r="181" spans="12:13" x14ac:dyDescent="0.2">
      <c r="L181" s="129"/>
      <c r="M181" s="132"/>
    </row>
    <row r="182" spans="12:13" x14ac:dyDescent="0.2">
      <c r="L182" s="129"/>
      <c r="M182" s="132"/>
    </row>
    <row r="183" spans="12:13" x14ac:dyDescent="0.2">
      <c r="L183" s="129"/>
      <c r="M183" s="132"/>
    </row>
    <row r="184" spans="12:13" x14ac:dyDescent="0.2">
      <c r="L184" s="129"/>
      <c r="M184" s="132"/>
    </row>
    <row r="185" spans="12:13" x14ac:dyDescent="0.2">
      <c r="L185" s="129"/>
      <c r="M185" s="132"/>
    </row>
    <row r="186" spans="12:13" x14ac:dyDescent="0.2">
      <c r="L186" s="129"/>
      <c r="M186" s="132"/>
    </row>
    <row r="187" spans="12:13" x14ac:dyDescent="0.2">
      <c r="L187" s="129"/>
      <c r="M187" s="132"/>
    </row>
    <row r="188" spans="12:13" x14ac:dyDescent="0.2">
      <c r="L188" s="129"/>
      <c r="M188" s="132"/>
    </row>
    <row r="189" spans="12:13" x14ac:dyDescent="0.2">
      <c r="L189" s="129"/>
      <c r="M189" s="132"/>
    </row>
    <row r="190" spans="12:13" x14ac:dyDescent="0.2">
      <c r="L190" s="129"/>
      <c r="M190" s="132"/>
    </row>
    <row r="191" spans="12:13" x14ac:dyDescent="0.2">
      <c r="L191" s="129"/>
      <c r="M191" s="132"/>
    </row>
    <row r="192" spans="12:13" x14ac:dyDescent="0.2">
      <c r="L192" s="129"/>
      <c r="M192" s="132"/>
    </row>
    <row r="193" spans="12:13" x14ac:dyDescent="0.2">
      <c r="L193" s="129"/>
      <c r="M193" s="132"/>
    </row>
    <row r="194" spans="12:13" x14ac:dyDescent="0.2">
      <c r="L194" s="129"/>
      <c r="M194" s="132"/>
    </row>
    <row r="195" spans="12:13" x14ac:dyDescent="0.2">
      <c r="L195" s="129"/>
      <c r="M195" s="132"/>
    </row>
    <row r="196" spans="12:13" x14ac:dyDescent="0.2">
      <c r="L196" s="129"/>
      <c r="M196" s="132"/>
    </row>
    <row r="197" spans="12:13" x14ac:dyDescent="0.2">
      <c r="L197" s="129"/>
      <c r="M197" s="132"/>
    </row>
    <row r="198" spans="12:13" x14ac:dyDescent="0.2">
      <c r="L198" s="129"/>
      <c r="M198" s="132"/>
    </row>
    <row r="199" spans="12:13" x14ac:dyDescent="0.2">
      <c r="L199" s="129"/>
      <c r="M199" s="132"/>
    </row>
    <row r="200" spans="12:13" x14ac:dyDescent="0.2">
      <c r="L200" s="129"/>
      <c r="M200" s="132"/>
    </row>
    <row r="201" spans="12:13" x14ac:dyDescent="0.2">
      <c r="L201" s="129"/>
      <c r="M201" s="132"/>
    </row>
    <row r="202" spans="12:13" x14ac:dyDescent="0.2">
      <c r="L202" s="129"/>
      <c r="M202" s="132"/>
    </row>
    <row r="203" spans="12:13" x14ac:dyDescent="0.2">
      <c r="L203" s="129"/>
      <c r="M203" s="132"/>
    </row>
    <row r="204" spans="12:13" x14ac:dyDescent="0.2">
      <c r="L204" s="129"/>
      <c r="M204" s="132"/>
    </row>
    <row r="205" spans="12:13" x14ac:dyDescent="0.2">
      <c r="L205" s="129"/>
      <c r="M205" s="132"/>
    </row>
    <row r="206" spans="12:13" x14ac:dyDescent="0.2">
      <c r="L206" s="129"/>
      <c r="M206" s="132"/>
    </row>
    <row r="207" spans="12:13" x14ac:dyDescent="0.2">
      <c r="L207" s="129"/>
      <c r="M207" s="132"/>
    </row>
    <row r="208" spans="12:13" x14ac:dyDescent="0.2">
      <c r="L208" s="129"/>
      <c r="M208" s="132"/>
    </row>
    <row r="209" spans="12:13" x14ac:dyDescent="0.2">
      <c r="L209" s="129"/>
      <c r="M209" s="132"/>
    </row>
    <row r="210" spans="12:13" x14ac:dyDescent="0.2">
      <c r="L210" s="129"/>
      <c r="M210" s="132"/>
    </row>
    <row r="211" spans="12:13" x14ac:dyDescent="0.2">
      <c r="L211" s="129"/>
      <c r="M211" s="132"/>
    </row>
    <row r="212" spans="12:13" x14ac:dyDescent="0.2">
      <c r="L212" s="129"/>
      <c r="M212" s="132"/>
    </row>
    <row r="213" spans="12:13" x14ac:dyDescent="0.2">
      <c r="L213" s="129"/>
      <c r="M213" s="132"/>
    </row>
    <row r="214" spans="12:13" x14ac:dyDescent="0.2">
      <c r="L214" s="129"/>
      <c r="M214" s="132"/>
    </row>
    <row r="215" spans="12:13" x14ac:dyDescent="0.2">
      <c r="L215" s="129"/>
      <c r="M215" s="132"/>
    </row>
    <row r="216" spans="12:13" x14ac:dyDescent="0.2">
      <c r="L216" s="129"/>
      <c r="M216" s="132"/>
    </row>
    <row r="217" spans="12:13" x14ac:dyDescent="0.2">
      <c r="L217" s="129"/>
      <c r="M217" s="132"/>
    </row>
    <row r="218" spans="12:13" x14ac:dyDescent="0.2">
      <c r="L218" s="129"/>
      <c r="M218" s="132"/>
    </row>
    <row r="219" spans="12:13" x14ac:dyDescent="0.2">
      <c r="L219" s="129"/>
      <c r="M219" s="132"/>
    </row>
    <row r="220" spans="12:13" x14ac:dyDescent="0.2">
      <c r="L220" s="129"/>
      <c r="M220" s="132"/>
    </row>
    <row r="221" spans="12:13" x14ac:dyDescent="0.2">
      <c r="L221" s="129"/>
      <c r="M221" s="132"/>
    </row>
    <row r="222" spans="12:13" x14ac:dyDescent="0.2">
      <c r="L222" s="129"/>
      <c r="M222" s="132"/>
    </row>
    <row r="223" spans="12:13" x14ac:dyDescent="0.2">
      <c r="L223" s="129"/>
      <c r="M223" s="132"/>
    </row>
    <row r="224" spans="12:13" x14ac:dyDescent="0.2">
      <c r="L224" s="129"/>
      <c r="M224" s="132"/>
    </row>
    <row r="225" spans="12:13" x14ac:dyDescent="0.2">
      <c r="L225" s="129"/>
      <c r="M225" s="132"/>
    </row>
    <row r="226" spans="12:13" x14ac:dyDescent="0.2">
      <c r="L226" s="129"/>
      <c r="M226" s="132"/>
    </row>
    <row r="227" spans="12:13" x14ac:dyDescent="0.2">
      <c r="L227" s="129"/>
      <c r="M227" s="132"/>
    </row>
    <row r="228" spans="12:13" x14ac:dyDescent="0.2">
      <c r="L228" s="129"/>
      <c r="M228" s="132"/>
    </row>
    <row r="229" spans="12:13" x14ac:dyDescent="0.2">
      <c r="L229" s="129"/>
      <c r="M229" s="132"/>
    </row>
    <row r="230" spans="12:13" x14ac:dyDescent="0.2">
      <c r="L230" s="129"/>
      <c r="M230" s="132"/>
    </row>
    <row r="231" spans="12:13" x14ac:dyDescent="0.2">
      <c r="L231" s="129"/>
      <c r="M231" s="132"/>
    </row>
    <row r="232" spans="12:13" x14ac:dyDescent="0.2">
      <c r="L232" s="129"/>
      <c r="M232" s="132"/>
    </row>
    <row r="233" spans="12:13" x14ac:dyDescent="0.2">
      <c r="L233" s="129"/>
      <c r="M233" s="132"/>
    </row>
    <row r="234" spans="12:13" x14ac:dyDescent="0.2">
      <c r="L234" s="129"/>
      <c r="M234" s="132"/>
    </row>
    <row r="235" spans="12:13" x14ac:dyDescent="0.2">
      <c r="L235" s="129"/>
      <c r="M235" s="132"/>
    </row>
    <row r="236" spans="12:13" x14ac:dyDescent="0.2">
      <c r="L236" s="129"/>
      <c r="M236" s="132"/>
    </row>
    <row r="237" spans="12:13" x14ac:dyDescent="0.2">
      <c r="L237" s="129"/>
      <c r="M237" s="132"/>
    </row>
    <row r="238" spans="12:13" x14ac:dyDescent="0.2">
      <c r="L238" s="129"/>
      <c r="M238" s="132"/>
    </row>
    <row r="239" spans="12:13" x14ac:dyDescent="0.2">
      <c r="L239" s="129"/>
      <c r="M239" s="132"/>
    </row>
    <row r="240" spans="12:13" x14ac:dyDescent="0.2">
      <c r="L240" s="129"/>
      <c r="M240" s="132"/>
    </row>
    <row r="241" spans="1:101" x14ac:dyDescent="0.2">
      <c r="L241" s="129"/>
      <c r="M241" s="132"/>
    </row>
    <row r="242" spans="1:101" x14ac:dyDescent="0.2">
      <c r="L242" s="129"/>
      <c r="M242" s="132"/>
    </row>
    <row r="243" spans="1:101" x14ac:dyDescent="0.2">
      <c r="L243" s="129"/>
      <c r="M243" s="132"/>
    </row>
    <row r="244" spans="1:101" s="112" customFormat="1" x14ac:dyDescent="0.2">
      <c r="A244" s="22"/>
      <c r="B244" s="1"/>
      <c r="C244" s="19"/>
      <c r="D244" s="19"/>
      <c r="E244" s="127"/>
      <c r="F244" s="16"/>
      <c r="G244" s="16"/>
      <c r="H244" s="17"/>
      <c r="I244" s="18"/>
      <c r="J244" s="128"/>
      <c r="K244" s="125"/>
      <c r="L244" s="129"/>
      <c r="M244" s="132"/>
      <c r="N244" s="101"/>
      <c r="O244" s="101"/>
      <c r="P244" s="101"/>
      <c r="Q244" s="102"/>
      <c r="R244" s="103"/>
      <c r="S244" s="104"/>
      <c r="T244" s="21"/>
      <c r="U244" s="20"/>
      <c r="V244" s="60"/>
      <c r="W244" s="60"/>
      <c r="X244" s="60"/>
      <c r="Y244" s="60"/>
      <c r="Z244" s="60"/>
      <c r="AA244" s="130"/>
      <c r="AB244" s="130"/>
      <c r="AC244" s="130"/>
      <c r="AD244" s="90"/>
      <c r="AE244" s="90"/>
      <c r="AF244" s="90"/>
      <c r="AG244" s="90"/>
      <c r="AH244" s="90"/>
      <c r="AI244" s="90"/>
      <c r="AJ244" s="60"/>
      <c r="AK244" s="60"/>
      <c r="AL244" s="60"/>
      <c r="AM244" s="60"/>
      <c r="AN244" s="60"/>
      <c r="AO244" s="60"/>
      <c r="AP244" s="60"/>
      <c r="AQ244" s="60"/>
      <c r="AR244" s="60"/>
      <c r="AS244" s="60"/>
      <c r="AT244" s="60"/>
      <c r="AU244" s="60"/>
      <c r="AV244" s="60"/>
      <c r="AW244" s="60"/>
      <c r="AX244" s="60"/>
      <c r="AY244" s="60"/>
      <c r="AZ244" s="60"/>
      <c r="BA244" s="60"/>
      <c r="BB244" s="60"/>
      <c r="BC244" s="60"/>
      <c r="BD244" s="60"/>
      <c r="BE244" s="60"/>
      <c r="BF244" s="60"/>
      <c r="BG244" s="60"/>
      <c r="BH244" s="60"/>
      <c r="BI244" s="60"/>
      <c r="BJ244" s="60"/>
      <c r="BK244" s="60"/>
      <c r="BL244" s="60"/>
      <c r="BM244" s="60"/>
      <c r="BN244" s="60"/>
      <c r="BO244" s="60"/>
      <c r="BP244" s="60"/>
      <c r="BQ244" s="60"/>
      <c r="BR244" s="60"/>
      <c r="BS244" s="113"/>
      <c r="BT244" s="113"/>
      <c r="BU244" s="113"/>
      <c r="BV244" s="113"/>
      <c r="BW244" s="113"/>
      <c r="BX244" s="113"/>
      <c r="BY244" s="113"/>
      <c r="BZ244" s="113"/>
      <c r="CA244" s="113"/>
      <c r="CB244" s="113"/>
      <c r="CC244" s="113"/>
      <c r="CD244" s="113"/>
      <c r="CE244" s="113"/>
      <c r="CF244" s="113"/>
      <c r="CG244" s="113"/>
      <c r="CH244" s="113"/>
      <c r="CI244" s="113"/>
      <c r="CJ244" s="113"/>
      <c r="CK244" s="113"/>
      <c r="CL244" s="113"/>
      <c r="CM244" s="113"/>
      <c r="CN244" s="113"/>
      <c r="CO244" s="113"/>
      <c r="CP244" s="113"/>
      <c r="CQ244" s="113"/>
      <c r="CR244" s="113"/>
      <c r="CS244" s="113"/>
      <c r="CT244" s="113"/>
      <c r="CU244" s="113"/>
      <c r="CV244" s="113"/>
      <c r="CW244" s="113"/>
    </row>
    <row r="245" spans="1:101" x14ac:dyDescent="0.2">
      <c r="L245" s="129"/>
      <c r="M245" s="132"/>
    </row>
    <row r="246" spans="1:101" x14ac:dyDescent="0.2">
      <c r="L246" s="129"/>
      <c r="M246" s="132"/>
    </row>
    <row r="247" spans="1:101" x14ac:dyDescent="0.2">
      <c r="L247" s="129"/>
      <c r="M247" s="132"/>
    </row>
    <row r="248" spans="1:101" x14ac:dyDescent="0.2">
      <c r="L248" s="129"/>
      <c r="M248" s="132"/>
    </row>
    <row r="249" spans="1:101" x14ac:dyDescent="0.2">
      <c r="L249" s="129"/>
      <c r="M249" s="132"/>
    </row>
    <row r="250" spans="1:101" x14ac:dyDescent="0.2">
      <c r="L250" s="129"/>
      <c r="M250" s="132"/>
    </row>
    <row r="251" spans="1:101" x14ac:dyDescent="0.2">
      <c r="L251" s="129"/>
      <c r="M251" s="132"/>
    </row>
    <row r="252" spans="1:101" x14ac:dyDescent="0.2">
      <c r="L252" s="129"/>
      <c r="M252" s="132"/>
    </row>
    <row r="253" spans="1:101" x14ac:dyDescent="0.2">
      <c r="L253" s="129"/>
      <c r="M253" s="132"/>
    </row>
    <row r="254" spans="1:101" s="112" customFormat="1" x14ac:dyDescent="0.2">
      <c r="A254" s="22"/>
      <c r="B254" s="1"/>
      <c r="C254" s="19"/>
      <c r="D254" s="19"/>
      <c r="E254" s="127"/>
      <c r="F254" s="16"/>
      <c r="G254" s="16"/>
      <c r="H254" s="17"/>
      <c r="I254" s="18"/>
      <c r="J254" s="128"/>
      <c r="K254" s="125"/>
      <c r="L254" s="129"/>
      <c r="M254" s="132"/>
      <c r="N254" s="101"/>
      <c r="O254" s="101"/>
      <c r="P254" s="101"/>
      <c r="Q254" s="102"/>
      <c r="R254" s="103"/>
      <c r="S254" s="104"/>
      <c r="T254" s="21"/>
      <c r="U254" s="20"/>
      <c r="V254" s="60"/>
      <c r="W254" s="60"/>
      <c r="X254" s="60"/>
      <c r="Y254" s="60"/>
      <c r="Z254" s="60"/>
      <c r="AA254" s="130"/>
      <c r="AB254" s="130"/>
      <c r="AC254" s="130"/>
      <c r="AD254" s="90"/>
      <c r="AE254" s="90"/>
      <c r="AF254" s="90"/>
      <c r="AG254" s="90"/>
      <c r="AH254" s="90"/>
      <c r="AI254" s="90"/>
      <c r="AJ254" s="60"/>
      <c r="AK254" s="60"/>
      <c r="AL254" s="60"/>
      <c r="AM254" s="60"/>
      <c r="AN254" s="60"/>
      <c r="AO254" s="60"/>
      <c r="AP254" s="60"/>
      <c r="AQ254" s="60"/>
      <c r="AR254" s="60"/>
      <c r="AS254" s="60"/>
      <c r="AT254" s="60"/>
      <c r="AU254" s="60"/>
      <c r="AV254" s="60"/>
      <c r="AW254" s="60"/>
      <c r="AX254" s="60"/>
      <c r="AY254" s="60"/>
      <c r="AZ254" s="60"/>
      <c r="BA254" s="60"/>
      <c r="BB254" s="60"/>
      <c r="BC254" s="60"/>
      <c r="BD254" s="60"/>
      <c r="BE254" s="60"/>
      <c r="BF254" s="60"/>
      <c r="BG254" s="60"/>
      <c r="BH254" s="60"/>
      <c r="BI254" s="60"/>
      <c r="BJ254" s="60"/>
      <c r="BK254" s="60"/>
      <c r="BL254" s="60"/>
      <c r="BM254" s="60"/>
      <c r="BN254" s="60"/>
      <c r="BO254" s="60"/>
      <c r="BP254" s="60"/>
      <c r="BQ254" s="60"/>
      <c r="BR254" s="60"/>
      <c r="BS254" s="113"/>
      <c r="BT254" s="113"/>
      <c r="BU254" s="113"/>
      <c r="BV254" s="113"/>
      <c r="BW254" s="113"/>
      <c r="BX254" s="113"/>
      <c r="BY254" s="113"/>
      <c r="BZ254" s="113"/>
      <c r="CA254" s="113"/>
      <c r="CB254" s="113"/>
      <c r="CC254" s="113"/>
      <c r="CD254" s="113"/>
      <c r="CE254" s="113"/>
      <c r="CF254" s="113"/>
      <c r="CG254" s="113"/>
      <c r="CH254" s="113"/>
      <c r="CI254" s="113"/>
      <c r="CJ254" s="113"/>
      <c r="CK254" s="113"/>
      <c r="CL254" s="113"/>
      <c r="CM254" s="113"/>
      <c r="CN254" s="113"/>
      <c r="CO254" s="113"/>
      <c r="CP254" s="113"/>
      <c r="CQ254" s="113"/>
      <c r="CR254" s="113"/>
      <c r="CS254" s="113"/>
      <c r="CT254" s="113"/>
      <c r="CU254" s="113"/>
      <c r="CV254" s="113"/>
      <c r="CW254" s="113"/>
    </row>
    <row r="255" spans="1:101" x14ac:dyDescent="0.2">
      <c r="L255" s="129"/>
      <c r="M255" s="132"/>
    </row>
    <row r="256" spans="1:101" x14ac:dyDescent="0.2">
      <c r="L256" s="129"/>
      <c r="M256" s="132"/>
    </row>
    <row r="257" spans="1:101" x14ac:dyDescent="0.2">
      <c r="L257" s="129"/>
      <c r="M257" s="132"/>
    </row>
    <row r="258" spans="1:101" x14ac:dyDescent="0.2">
      <c r="L258" s="129"/>
      <c r="M258" s="132"/>
    </row>
    <row r="259" spans="1:101" x14ac:dyDescent="0.2">
      <c r="L259" s="129"/>
      <c r="M259" s="132"/>
    </row>
    <row r="260" spans="1:101" x14ac:dyDescent="0.2">
      <c r="L260" s="129"/>
      <c r="M260" s="132"/>
    </row>
    <row r="261" spans="1:101" x14ac:dyDescent="0.2">
      <c r="L261" s="129"/>
      <c r="M261" s="132"/>
    </row>
    <row r="262" spans="1:101" x14ac:dyDescent="0.2">
      <c r="L262" s="129"/>
      <c r="M262" s="132"/>
    </row>
    <row r="263" spans="1:101" x14ac:dyDescent="0.2">
      <c r="L263" s="129"/>
      <c r="M263" s="132"/>
    </row>
    <row r="264" spans="1:101" x14ac:dyDescent="0.2">
      <c r="L264" s="129"/>
      <c r="M264" s="132"/>
    </row>
    <row r="265" spans="1:101" s="112" customFormat="1" x14ac:dyDescent="0.2">
      <c r="A265" s="22"/>
      <c r="B265" s="1"/>
      <c r="C265" s="19"/>
      <c r="D265" s="19"/>
      <c r="E265" s="127"/>
      <c r="F265" s="16"/>
      <c r="G265" s="16"/>
      <c r="H265" s="17"/>
      <c r="I265" s="18"/>
      <c r="J265" s="128"/>
      <c r="K265" s="125"/>
      <c r="L265" s="129"/>
      <c r="M265" s="132"/>
      <c r="N265" s="101"/>
      <c r="O265" s="101"/>
      <c r="P265" s="101"/>
      <c r="Q265" s="102"/>
      <c r="R265" s="103"/>
      <c r="S265" s="104"/>
      <c r="T265" s="21"/>
      <c r="U265" s="20"/>
      <c r="V265" s="60"/>
      <c r="W265" s="60"/>
      <c r="X265" s="60"/>
      <c r="Y265" s="60"/>
      <c r="Z265" s="60"/>
      <c r="AA265" s="130"/>
      <c r="AB265" s="130"/>
      <c r="AC265" s="130"/>
      <c r="AD265" s="90"/>
      <c r="AE265" s="90"/>
      <c r="AF265" s="90"/>
      <c r="AG265" s="90"/>
      <c r="AH265" s="90"/>
      <c r="AI265" s="90"/>
      <c r="AJ265" s="60"/>
      <c r="AK265" s="60"/>
      <c r="AL265" s="60"/>
      <c r="AM265" s="60"/>
      <c r="AN265" s="60"/>
      <c r="AO265" s="60"/>
      <c r="AP265" s="60"/>
      <c r="AQ265" s="60"/>
      <c r="AR265" s="60"/>
      <c r="AS265" s="60"/>
      <c r="AT265" s="60"/>
      <c r="AU265" s="60"/>
      <c r="AV265" s="60"/>
      <c r="AW265" s="60"/>
      <c r="AX265" s="60"/>
      <c r="AY265" s="60"/>
      <c r="AZ265" s="60"/>
      <c r="BA265" s="60"/>
      <c r="BB265" s="60"/>
      <c r="BC265" s="60"/>
      <c r="BD265" s="60"/>
      <c r="BE265" s="60"/>
      <c r="BF265" s="60"/>
      <c r="BG265" s="60"/>
      <c r="BH265" s="60"/>
      <c r="BI265" s="60"/>
      <c r="BJ265" s="60"/>
      <c r="BK265" s="60"/>
      <c r="BL265" s="60"/>
      <c r="BM265" s="60"/>
      <c r="BN265" s="60"/>
      <c r="BO265" s="60"/>
      <c r="BP265" s="60"/>
      <c r="BQ265" s="60"/>
      <c r="BR265" s="60"/>
      <c r="BS265" s="113"/>
      <c r="BT265" s="113"/>
      <c r="BU265" s="113"/>
      <c r="BV265" s="113"/>
      <c r="BW265" s="113"/>
      <c r="BX265" s="113"/>
      <c r="BY265" s="113"/>
      <c r="BZ265" s="113"/>
      <c r="CA265" s="113"/>
      <c r="CB265" s="113"/>
      <c r="CC265" s="113"/>
      <c r="CD265" s="113"/>
      <c r="CE265" s="113"/>
      <c r="CF265" s="113"/>
      <c r="CG265" s="113"/>
      <c r="CH265" s="113"/>
      <c r="CI265" s="113"/>
      <c r="CJ265" s="113"/>
      <c r="CK265" s="113"/>
      <c r="CL265" s="113"/>
      <c r="CM265" s="113"/>
      <c r="CN265" s="113"/>
      <c r="CO265" s="113"/>
      <c r="CP265" s="113"/>
      <c r="CQ265" s="113"/>
      <c r="CR265" s="113"/>
      <c r="CS265" s="113"/>
      <c r="CT265" s="113"/>
      <c r="CU265" s="113"/>
      <c r="CV265" s="113"/>
      <c r="CW265" s="113"/>
    </row>
    <row r="266" spans="1:101" x14ac:dyDescent="0.2">
      <c r="L266" s="129"/>
      <c r="M266" s="132"/>
    </row>
    <row r="267" spans="1:101" x14ac:dyDescent="0.2">
      <c r="L267" s="129"/>
      <c r="M267" s="132"/>
    </row>
    <row r="268" spans="1:101" x14ac:dyDescent="0.2">
      <c r="L268" s="129"/>
      <c r="M268" s="132"/>
    </row>
    <row r="269" spans="1:101" x14ac:dyDescent="0.2">
      <c r="L269" s="129"/>
      <c r="M269" s="132"/>
    </row>
    <row r="270" spans="1:101" x14ac:dyDescent="0.2">
      <c r="L270" s="129"/>
      <c r="M270" s="132"/>
    </row>
    <row r="271" spans="1:101" x14ac:dyDescent="0.2">
      <c r="L271" s="129"/>
      <c r="M271" s="132"/>
    </row>
    <row r="272" spans="1:101" x14ac:dyDescent="0.2">
      <c r="L272" s="129"/>
      <c r="M272" s="132"/>
    </row>
    <row r="273" spans="12:13" x14ac:dyDescent="0.2">
      <c r="L273" s="129"/>
      <c r="M273" s="132"/>
    </row>
    <row r="274" spans="12:13" x14ac:dyDescent="0.2">
      <c r="L274" s="129"/>
      <c r="M274" s="132"/>
    </row>
    <row r="275" spans="12:13" x14ac:dyDescent="0.2">
      <c r="L275" s="129"/>
      <c r="M275" s="132"/>
    </row>
    <row r="276" spans="12:13" x14ac:dyDescent="0.2">
      <c r="L276" s="129"/>
      <c r="M276" s="132"/>
    </row>
    <row r="277" spans="12:13" x14ac:dyDescent="0.2">
      <c r="L277" s="129"/>
      <c r="M277" s="132"/>
    </row>
    <row r="278" spans="12:13" x14ac:dyDescent="0.2">
      <c r="L278" s="129"/>
      <c r="M278" s="132"/>
    </row>
    <row r="279" spans="12:13" x14ac:dyDescent="0.2">
      <c r="L279" s="129"/>
      <c r="M279" s="132"/>
    </row>
    <row r="280" spans="12:13" x14ac:dyDescent="0.2">
      <c r="L280" s="129"/>
      <c r="M280" s="132"/>
    </row>
    <row r="281" spans="12:13" x14ac:dyDescent="0.2">
      <c r="L281" s="129"/>
      <c r="M281" s="132"/>
    </row>
    <row r="282" spans="12:13" x14ac:dyDescent="0.2">
      <c r="L282" s="129"/>
      <c r="M282" s="132"/>
    </row>
    <row r="283" spans="12:13" x14ac:dyDescent="0.2">
      <c r="L283" s="129"/>
      <c r="M283" s="132"/>
    </row>
    <row r="284" spans="12:13" x14ac:dyDescent="0.2">
      <c r="L284" s="129"/>
      <c r="M284" s="132"/>
    </row>
    <row r="285" spans="12:13" x14ac:dyDescent="0.2">
      <c r="L285" s="129"/>
      <c r="M285" s="132"/>
    </row>
    <row r="286" spans="12:13" x14ac:dyDescent="0.2">
      <c r="L286" s="129"/>
      <c r="M286" s="132"/>
    </row>
    <row r="287" spans="12:13" x14ac:dyDescent="0.2">
      <c r="L287" s="129"/>
      <c r="M287" s="132"/>
    </row>
    <row r="288" spans="12:13" x14ac:dyDescent="0.2">
      <c r="L288" s="129"/>
      <c r="M288" s="132"/>
    </row>
    <row r="289" spans="12:13" x14ac:dyDescent="0.2">
      <c r="L289" s="129"/>
      <c r="M289" s="132"/>
    </row>
    <row r="290" spans="12:13" x14ac:dyDescent="0.2">
      <c r="L290" s="129"/>
      <c r="M290" s="132"/>
    </row>
    <row r="291" spans="12:13" x14ac:dyDescent="0.2">
      <c r="L291" s="129"/>
      <c r="M291" s="132"/>
    </row>
    <row r="292" spans="12:13" x14ac:dyDescent="0.2">
      <c r="L292" s="129"/>
      <c r="M292" s="132"/>
    </row>
    <row r="293" spans="12:13" x14ac:dyDescent="0.2">
      <c r="L293" s="129"/>
      <c r="M293" s="132"/>
    </row>
    <row r="294" spans="12:13" x14ac:dyDescent="0.2">
      <c r="L294" s="129"/>
      <c r="M294" s="132"/>
    </row>
    <row r="295" spans="12:13" x14ac:dyDescent="0.2">
      <c r="L295" s="129"/>
      <c r="M295" s="132"/>
    </row>
    <row r="296" spans="12:13" x14ac:dyDescent="0.2">
      <c r="L296" s="129"/>
      <c r="M296" s="132"/>
    </row>
    <row r="297" spans="12:13" x14ac:dyDescent="0.2">
      <c r="L297" s="129"/>
      <c r="M297" s="132"/>
    </row>
    <row r="298" spans="12:13" x14ac:dyDescent="0.2">
      <c r="L298" s="129"/>
      <c r="M298" s="132"/>
    </row>
    <row r="299" spans="12:13" x14ac:dyDescent="0.2">
      <c r="L299" s="129"/>
      <c r="M299" s="132"/>
    </row>
    <row r="300" spans="12:13" x14ac:dyDescent="0.2">
      <c r="L300" s="129"/>
      <c r="M300" s="132"/>
    </row>
    <row r="301" spans="12:13" x14ac:dyDescent="0.2">
      <c r="L301" s="129"/>
      <c r="M301" s="132"/>
    </row>
    <row r="302" spans="12:13" x14ac:dyDescent="0.2">
      <c r="L302" s="129"/>
      <c r="M302" s="132"/>
    </row>
    <row r="303" spans="12:13" x14ac:dyDescent="0.2">
      <c r="L303" s="129"/>
      <c r="M303" s="132"/>
    </row>
    <row r="304" spans="12:13" x14ac:dyDescent="0.2">
      <c r="L304" s="129"/>
      <c r="M304" s="132"/>
    </row>
    <row r="305" spans="12:13" x14ac:dyDescent="0.2">
      <c r="L305" s="129"/>
      <c r="M305" s="132"/>
    </row>
    <row r="306" spans="12:13" x14ac:dyDescent="0.2">
      <c r="L306" s="129"/>
      <c r="M306" s="132"/>
    </row>
    <row r="307" spans="12:13" x14ac:dyDescent="0.2">
      <c r="L307" s="129"/>
      <c r="M307" s="132"/>
    </row>
    <row r="308" spans="12:13" x14ac:dyDescent="0.2">
      <c r="L308" s="129"/>
      <c r="M308" s="132"/>
    </row>
    <row r="309" spans="12:13" x14ac:dyDescent="0.2">
      <c r="L309" s="129"/>
      <c r="M309" s="132"/>
    </row>
    <row r="310" spans="12:13" x14ac:dyDescent="0.2">
      <c r="L310" s="129"/>
      <c r="M310" s="132"/>
    </row>
    <row r="311" spans="12:13" x14ac:dyDescent="0.2">
      <c r="L311" s="129"/>
      <c r="M311" s="132"/>
    </row>
    <row r="312" spans="12:13" x14ac:dyDescent="0.2">
      <c r="L312" s="129"/>
      <c r="M312" s="132"/>
    </row>
    <row r="313" spans="12:13" x14ac:dyDescent="0.2">
      <c r="L313" s="129"/>
      <c r="M313" s="132"/>
    </row>
    <row r="314" spans="12:13" x14ac:dyDescent="0.2">
      <c r="L314" s="129"/>
      <c r="M314" s="132"/>
    </row>
    <row r="315" spans="12:13" x14ac:dyDescent="0.2">
      <c r="L315" s="129"/>
      <c r="M315" s="132"/>
    </row>
    <row r="316" spans="12:13" x14ac:dyDescent="0.2">
      <c r="L316" s="129"/>
      <c r="M316" s="132"/>
    </row>
    <row r="317" spans="12:13" x14ac:dyDescent="0.2">
      <c r="L317" s="129"/>
      <c r="M317" s="132"/>
    </row>
    <row r="318" spans="12:13" x14ac:dyDescent="0.2">
      <c r="L318" s="129"/>
      <c r="M318" s="132"/>
    </row>
    <row r="319" spans="12:13" x14ac:dyDescent="0.2">
      <c r="L319" s="129"/>
      <c r="M319" s="132"/>
    </row>
    <row r="320" spans="12:13" x14ac:dyDescent="0.2">
      <c r="L320" s="129"/>
      <c r="M320" s="132"/>
    </row>
    <row r="321" spans="12:13" x14ac:dyDescent="0.2">
      <c r="L321" s="129"/>
      <c r="M321" s="132"/>
    </row>
    <row r="322" spans="12:13" x14ac:dyDescent="0.2">
      <c r="L322" s="129"/>
      <c r="M322" s="132"/>
    </row>
    <row r="323" spans="12:13" x14ac:dyDescent="0.2">
      <c r="L323" s="129"/>
      <c r="M323" s="132"/>
    </row>
    <row r="324" spans="12:13" x14ac:dyDescent="0.2">
      <c r="L324" s="129"/>
      <c r="M324" s="132"/>
    </row>
    <row r="325" spans="12:13" x14ac:dyDescent="0.2">
      <c r="L325" s="129"/>
      <c r="M325" s="132"/>
    </row>
    <row r="326" spans="12:13" x14ac:dyDescent="0.2">
      <c r="L326" s="129"/>
      <c r="M326" s="132"/>
    </row>
    <row r="327" spans="12:13" x14ac:dyDescent="0.2">
      <c r="L327" s="129"/>
      <c r="M327" s="132"/>
    </row>
    <row r="328" spans="12:13" x14ac:dyDescent="0.2">
      <c r="L328" s="129"/>
      <c r="M328" s="132"/>
    </row>
    <row r="329" spans="12:13" x14ac:dyDescent="0.2">
      <c r="L329" s="129"/>
      <c r="M329" s="132"/>
    </row>
    <row r="330" spans="12:13" x14ac:dyDescent="0.2">
      <c r="L330" s="129"/>
      <c r="M330" s="132"/>
    </row>
    <row r="331" spans="12:13" x14ac:dyDescent="0.2">
      <c r="L331" s="129"/>
      <c r="M331" s="132"/>
    </row>
    <row r="332" spans="12:13" x14ac:dyDescent="0.2">
      <c r="L332" s="129"/>
      <c r="M332" s="132"/>
    </row>
    <row r="333" spans="12:13" x14ac:dyDescent="0.2">
      <c r="L333" s="129"/>
      <c r="M333" s="132"/>
    </row>
    <row r="334" spans="12:13" x14ac:dyDescent="0.2">
      <c r="L334" s="129"/>
      <c r="M334" s="132"/>
    </row>
    <row r="335" spans="12:13" x14ac:dyDescent="0.2">
      <c r="L335" s="129"/>
      <c r="M335" s="132"/>
    </row>
    <row r="336" spans="12:13" x14ac:dyDescent="0.2">
      <c r="L336" s="129"/>
      <c r="M336" s="132"/>
    </row>
    <row r="337" spans="12:13" x14ac:dyDescent="0.2">
      <c r="L337" s="129"/>
      <c r="M337" s="132"/>
    </row>
    <row r="338" spans="12:13" x14ac:dyDescent="0.2">
      <c r="L338" s="129"/>
      <c r="M338" s="132"/>
    </row>
    <row r="339" spans="12:13" x14ac:dyDescent="0.2">
      <c r="L339" s="129"/>
      <c r="M339" s="132"/>
    </row>
    <row r="340" spans="12:13" x14ac:dyDescent="0.2">
      <c r="L340" s="129"/>
      <c r="M340" s="132"/>
    </row>
    <row r="341" spans="12:13" x14ac:dyDescent="0.2">
      <c r="L341" s="129"/>
      <c r="M341" s="132"/>
    </row>
    <row r="342" spans="12:13" x14ac:dyDescent="0.2">
      <c r="L342" s="129"/>
      <c r="M342" s="132"/>
    </row>
    <row r="343" spans="12:13" x14ac:dyDescent="0.2">
      <c r="L343" s="129"/>
      <c r="M343" s="132"/>
    </row>
    <row r="344" spans="12:13" x14ac:dyDescent="0.2">
      <c r="L344" s="129"/>
      <c r="M344" s="132"/>
    </row>
    <row r="345" spans="12:13" x14ac:dyDescent="0.2">
      <c r="L345" s="129"/>
      <c r="M345" s="132"/>
    </row>
    <row r="346" spans="12:13" x14ac:dyDescent="0.2">
      <c r="L346" s="129"/>
      <c r="M346" s="132"/>
    </row>
    <row r="347" spans="12:13" x14ac:dyDescent="0.2">
      <c r="L347" s="129"/>
      <c r="M347" s="132"/>
    </row>
    <row r="348" spans="12:13" x14ac:dyDescent="0.2">
      <c r="L348" s="129"/>
      <c r="M348" s="132"/>
    </row>
    <row r="349" spans="12:13" x14ac:dyDescent="0.2">
      <c r="L349" s="129"/>
      <c r="M349" s="132"/>
    </row>
    <row r="350" spans="12:13" x14ac:dyDescent="0.2">
      <c r="L350" s="129"/>
      <c r="M350" s="132"/>
    </row>
    <row r="351" spans="12:13" x14ac:dyDescent="0.2">
      <c r="L351" s="129"/>
      <c r="M351" s="132"/>
    </row>
    <row r="352" spans="12:13" x14ac:dyDescent="0.2">
      <c r="L352" s="129"/>
      <c r="M352" s="132"/>
    </row>
    <row r="353" spans="12:13" x14ac:dyDescent="0.2">
      <c r="L353" s="129"/>
      <c r="M353" s="132"/>
    </row>
    <row r="354" spans="12:13" x14ac:dyDescent="0.2">
      <c r="L354" s="129"/>
      <c r="M354" s="132"/>
    </row>
    <row r="355" spans="12:13" x14ac:dyDescent="0.2">
      <c r="L355" s="129"/>
      <c r="M355" s="132"/>
    </row>
    <row r="356" spans="12:13" x14ac:dyDescent="0.2">
      <c r="L356" s="129"/>
      <c r="M356" s="132"/>
    </row>
    <row r="357" spans="12:13" x14ac:dyDescent="0.2">
      <c r="L357" s="129"/>
      <c r="M357" s="132"/>
    </row>
    <row r="358" spans="12:13" x14ac:dyDescent="0.2">
      <c r="L358" s="129"/>
      <c r="M358" s="132"/>
    </row>
    <row r="359" spans="12:13" x14ac:dyDescent="0.2">
      <c r="L359" s="129"/>
      <c r="M359" s="132"/>
    </row>
    <row r="360" spans="12:13" x14ac:dyDescent="0.2">
      <c r="L360" s="129"/>
      <c r="M360" s="132"/>
    </row>
    <row r="361" spans="12:13" x14ac:dyDescent="0.2">
      <c r="L361" s="129"/>
      <c r="M361" s="132"/>
    </row>
    <row r="362" spans="12:13" x14ac:dyDescent="0.2">
      <c r="L362" s="129"/>
      <c r="M362" s="132"/>
    </row>
    <row r="363" spans="12:13" x14ac:dyDescent="0.2">
      <c r="L363" s="129"/>
      <c r="M363" s="132"/>
    </row>
    <row r="364" spans="12:13" x14ac:dyDescent="0.2">
      <c r="L364" s="129"/>
      <c r="M364" s="132"/>
    </row>
    <row r="365" spans="12:13" x14ac:dyDescent="0.2">
      <c r="L365" s="129"/>
      <c r="M365" s="132"/>
    </row>
    <row r="366" spans="12:13" x14ac:dyDescent="0.2">
      <c r="L366" s="129"/>
      <c r="M366" s="132"/>
    </row>
    <row r="367" spans="12:13" x14ac:dyDescent="0.2">
      <c r="L367" s="129"/>
      <c r="M367" s="132"/>
    </row>
    <row r="368" spans="12:13" x14ac:dyDescent="0.2">
      <c r="L368" s="129"/>
      <c r="M368" s="132"/>
    </row>
    <row r="369" spans="12:13" x14ac:dyDescent="0.2">
      <c r="L369" s="129"/>
      <c r="M369" s="132"/>
    </row>
    <row r="370" spans="12:13" x14ac:dyDescent="0.2">
      <c r="L370" s="129"/>
      <c r="M370" s="132"/>
    </row>
    <row r="371" spans="12:13" x14ac:dyDescent="0.2">
      <c r="L371" s="129"/>
      <c r="M371" s="132"/>
    </row>
    <row r="372" spans="12:13" x14ac:dyDescent="0.2">
      <c r="L372" s="129"/>
      <c r="M372" s="132"/>
    </row>
    <row r="373" spans="12:13" x14ac:dyDescent="0.2">
      <c r="L373" s="129"/>
      <c r="M373" s="132"/>
    </row>
    <row r="374" spans="12:13" x14ac:dyDescent="0.2">
      <c r="L374" s="129"/>
      <c r="M374" s="132"/>
    </row>
    <row r="375" spans="12:13" x14ac:dyDescent="0.2">
      <c r="L375" s="129"/>
      <c r="M375" s="132"/>
    </row>
    <row r="376" spans="12:13" x14ac:dyDescent="0.2">
      <c r="L376" s="129"/>
      <c r="M376" s="132"/>
    </row>
    <row r="377" spans="12:13" x14ac:dyDescent="0.2">
      <c r="L377" s="129"/>
      <c r="M377" s="132"/>
    </row>
    <row r="378" spans="12:13" x14ac:dyDescent="0.2">
      <c r="L378" s="129"/>
      <c r="M378" s="132"/>
    </row>
    <row r="379" spans="12:13" x14ac:dyDescent="0.2">
      <c r="L379" s="129"/>
      <c r="M379" s="132"/>
    </row>
    <row r="380" spans="12:13" x14ac:dyDescent="0.2">
      <c r="L380" s="129"/>
      <c r="M380" s="132"/>
    </row>
    <row r="381" spans="12:13" x14ac:dyDescent="0.2">
      <c r="L381" s="129"/>
      <c r="M381" s="132"/>
    </row>
    <row r="382" spans="12:13" x14ac:dyDescent="0.2">
      <c r="L382" s="129"/>
      <c r="M382" s="132"/>
    </row>
    <row r="383" spans="12:13" x14ac:dyDescent="0.2">
      <c r="L383" s="129"/>
      <c r="M383" s="132"/>
    </row>
    <row r="384" spans="12:13" x14ac:dyDescent="0.2">
      <c r="L384" s="129"/>
      <c r="M384" s="132"/>
    </row>
    <row r="385" spans="12:13" x14ac:dyDescent="0.2">
      <c r="L385" s="129"/>
      <c r="M385" s="132"/>
    </row>
    <row r="386" spans="12:13" x14ac:dyDescent="0.2">
      <c r="L386" s="129"/>
      <c r="M386" s="132"/>
    </row>
    <row r="387" spans="12:13" x14ac:dyDescent="0.2">
      <c r="L387" s="129"/>
      <c r="M387" s="132"/>
    </row>
    <row r="388" spans="12:13" x14ac:dyDescent="0.2">
      <c r="L388" s="129"/>
      <c r="M388" s="132"/>
    </row>
    <row r="389" spans="12:13" x14ac:dyDescent="0.2">
      <c r="L389" s="129"/>
      <c r="M389" s="132"/>
    </row>
    <row r="390" spans="12:13" x14ac:dyDescent="0.2">
      <c r="L390" s="129"/>
      <c r="M390" s="132"/>
    </row>
    <row r="391" spans="12:13" x14ac:dyDescent="0.2">
      <c r="L391" s="129"/>
      <c r="M391" s="132"/>
    </row>
    <row r="392" spans="12:13" x14ac:dyDescent="0.2">
      <c r="L392" s="129"/>
      <c r="M392" s="132"/>
    </row>
    <row r="393" spans="12:13" x14ac:dyDescent="0.2">
      <c r="L393" s="129"/>
      <c r="M393" s="132"/>
    </row>
    <row r="394" spans="12:13" x14ac:dyDescent="0.2">
      <c r="L394" s="129"/>
      <c r="M394" s="132"/>
    </row>
    <row r="395" spans="12:13" x14ac:dyDescent="0.2">
      <c r="L395" s="129"/>
      <c r="M395" s="132"/>
    </row>
    <row r="396" spans="12:13" x14ac:dyDescent="0.2">
      <c r="L396" s="129"/>
      <c r="M396" s="132"/>
    </row>
    <row r="397" spans="12:13" x14ac:dyDescent="0.2">
      <c r="L397" s="129"/>
      <c r="M397" s="132"/>
    </row>
    <row r="398" spans="12:13" x14ac:dyDescent="0.2">
      <c r="L398" s="129"/>
      <c r="M398" s="132"/>
    </row>
    <row r="399" spans="12:13" x14ac:dyDescent="0.2">
      <c r="L399" s="129"/>
      <c r="M399" s="132"/>
    </row>
    <row r="400" spans="12:13" x14ac:dyDescent="0.2">
      <c r="L400" s="129"/>
      <c r="M400" s="132"/>
    </row>
    <row r="401" spans="12:13" x14ac:dyDescent="0.2">
      <c r="L401" s="129"/>
      <c r="M401" s="132"/>
    </row>
    <row r="402" spans="12:13" x14ac:dyDescent="0.2">
      <c r="L402" s="129"/>
      <c r="M402" s="132"/>
    </row>
    <row r="403" spans="12:13" x14ac:dyDescent="0.2">
      <c r="L403" s="129"/>
      <c r="M403" s="132"/>
    </row>
    <row r="404" spans="12:13" x14ac:dyDescent="0.2">
      <c r="L404" s="129"/>
      <c r="M404" s="132"/>
    </row>
    <row r="405" spans="12:13" x14ac:dyDescent="0.2">
      <c r="L405" s="129"/>
      <c r="M405" s="132"/>
    </row>
    <row r="406" spans="12:13" x14ac:dyDescent="0.2">
      <c r="L406" s="129"/>
      <c r="M406" s="132"/>
    </row>
    <row r="407" spans="12:13" x14ac:dyDescent="0.2">
      <c r="L407" s="129"/>
      <c r="M407" s="132"/>
    </row>
    <row r="408" spans="12:13" x14ac:dyDescent="0.2">
      <c r="L408" s="129"/>
      <c r="M408" s="132"/>
    </row>
    <row r="409" spans="12:13" x14ac:dyDescent="0.2">
      <c r="L409" s="129"/>
      <c r="M409" s="132"/>
    </row>
    <row r="410" spans="12:13" x14ac:dyDescent="0.2">
      <c r="L410" s="129"/>
      <c r="M410" s="132"/>
    </row>
    <row r="411" spans="12:13" x14ac:dyDescent="0.2">
      <c r="L411" s="129"/>
      <c r="M411" s="132"/>
    </row>
    <row r="412" spans="12:13" x14ac:dyDescent="0.2">
      <c r="L412" s="129"/>
      <c r="M412" s="132"/>
    </row>
    <row r="413" spans="12:13" x14ac:dyDescent="0.2">
      <c r="L413" s="129"/>
      <c r="M413" s="132"/>
    </row>
    <row r="414" spans="12:13" x14ac:dyDescent="0.2">
      <c r="L414" s="129"/>
      <c r="M414" s="132"/>
    </row>
    <row r="415" spans="12:13" x14ac:dyDescent="0.2">
      <c r="L415" s="129"/>
      <c r="M415" s="132"/>
    </row>
    <row r="416" spans="12:13" x14ac:dyDescent="0.2">
      <c r="L416" s="129"/>
      <c r="M416" s="132"/>
    </row>
    <row r="417" spans="12:13" x14ac:dyDescent="0.2">
      <c r="L417" s="129"/>
      <c r="M417" s="132"/>
    </row>
    <row r="418" spans="12:13" x14ac:dyDescent="0.2">
      <c r="L418" s="129"/>
      <c r="M418" s="132"/>
    </row>
    <row r="419" spans="12:13" x14ac:dyDescent="0.2">
      <c r="L419" s="129"/>
      <c r="M419" s="132"/>
    </row>
    <row r="420" spans="12:13" x14ac:dyDescent="0.2">
      <c r="L420" s="129"/>
      <c r="M420" s="132"/>
    </row>
    <row r="421" spans="12:13" x14ac:dyDescent="0.2">
      <c r="L421" s="129"/>
      <c r="M421" s="132"/>
    </row>
    <row r="422" spans="12:13" x14ac:dyDescent="0.2">
      <c r="L422" s="129"/>
      <c r="M422" s="132"/>
    </row>
    <row r="423" spans="12:13" x14ac:dyDescent="0.2">
      <c r="L423" s="129"/>
      <c r="M423" s="132"/>
    </row>
    <row r="424" spans="12:13" x14ac:dyDescent="0.2">
      <c r="L424" s="129"/>
      <c r="M424" s="132"/>
    </row>
    <row r="425" spans="12:13" x14ac:dyDescent="0.2">
      <c r="L425" s="129"/>
      <c r="M425" s="132"/>
    </row>
    <row r="426" spans="12:13" x14ac:dyDescent="0.2">
      <c r="L426" s="129"/>
      <c r="M426" s="132"/>
    </row>
    <row r="427" spans="12:13" x14ac:dyDescent="0.2">
      <c r="L427" s="129"/>
      <c r="M427" s="132"/>
    </row>
    <row r="428" spans="12:13" x14ac:dyDescent="0.2">
      <c r="L428" s="129"/>
      <c r="M428" s="132"/>
    </row>
    <row r="429" spans="12:13" x14ac:dyDescent="0.2">
      <c r="L429" s="129"/>
      <c r="M429" s="132"/>
    </row>
    <row r="430" spans="12:13" x14ac:dyDescent="0.2">
      <c r="L430" s="129"/>
      <c r="M430" s="132"/>
    </row>
    <row r="431" spans="12:13" x14ac:dyDescent="0.2">
      <c r="L431" s="129"/>
      <c r="M431" s="132"/>
    </row>
    <row r="432" spans="12:13" x14ac:dyDescent="0.2">
      <c r="L432" s="129"/>
      <c r="M432" s="132"/>
    </row>
    <row r="433" spans="12:13" x14ac:dyDescent="0.2">
      <c r="L433" s="129"/>
      <c r="M433" s="132"/>
    </row>
    <row r="434" spans="12:13" x14ac:dyDescent="0.2">
      <c r="L434" s="129"/>
      <c r="M434" s="132"/>
    </row>
    <row r="435" spans="12:13" x14ac:dyDescent="0.2">
      <c r="L435" s="129"/>
      <c r="M435" s="132"/>
    </row>
    <row r="436" spans="12:13" x14ac:dyDescent="0.2">
      <c r="L436" s="129"/>
      <c r="M436" s="132"/>
    </row>
    <row r="437" spans="12:13" x14ac:dyDescent="0.2">
      <c r="L437" s="129"/>
      <c r="M437" s="132"/>
    </row>
    <row r="438" spans="12:13" x14ac:dyDescent="0.2">
      <c r="L438" s="129"/>
      <c r="M438" s="132"/>
    </row>
    <row r="439" spans="12:13" x14ac:dyDescent="0.2">
      <c r="L439" s="129"/>
      <c r="M439" s="132"/>
    </row>
    <row r="440" spans="12:13" x14ac:dyDescent="0.2">
      <c r="L440" s="129"/>
      <c r="M440" s="132"/>
    </row>
    <row r="441" spans="12:13" x14ac:dyDescent="0.2">
      <c r="L441" s="129"/>
      <c r="M441" s="132"/>
    </row>
    <row r="442" spans="12:13" x14ac:dyDescent="0.2">
      <c r="L442" s="129"/>
      <c r="M442" s="132"/>
    </row>
    <row r="443" spans="12:13" x14ac:dyDescent="0.2">
      <c r="L443" s="129"/>
      <c r="M443" s="132"/>
    </row>
    <row r="444" spans="12:13" x14ac:dyDescent="0.2">
      <c r="L444" s="129"/>
      <c r="M444" s="132"/>
    </row>
    <row r="445" spans="12:13" x14ac:dyDescent="0.2">
      <c r="L445" s="129"/>
      <c r="M445" s="132"/>
    </row>
    <row r="446" spans="12:13" x14ac:dyDescent="0.2">
      <c r="L446" s="129"/>
      <c r="M446" s="132"/>
    </row>
    <row r="447" spans="12:13" x14ac:dyDescent="0.2">
      <c r="L447" s="129"/>
      <c r="M447" s="132"/>
    </row>
    <row r="448" spans="12:13" x14ac:dyDescent="0.2">
      <c r="L448" s="129"/>
      <c r="M448" s="132"/>
    </row>
    <row r="449" spans="12:13" x14ac:dyDescent="0.2">
      <c r="L449" s="129"/>
      <c r="M449" s="132"/>
    </row>
    <row r="450" spans="12:13" x14ac:dyDescent="0.2">
      <c r="L450" s="129"/>
      <c r="M450" s="132"/>
    </row>
    <row r="451" spans="12:13" x14ac:dyDescent="0.2">
      <c r="L451" s="129"/>
      <c r="M451" s="132"/>
    </row>
    <row r="452" spans="12:13" x14ac:dyDescent="0.2">
      <c r="L452" s="129"/>
      <c r="M452" s="132"/>
    </row>
    <row r="453" spans="12:13" x14ac:dyDescent="0.2">
      <c r="L453" s="129"/>
      <c r="M453" s="132"/>
    </row>
    <row r="454" spans="12:13" x14ac:dyDescent="0.2">
      <c r="L454" s="129"/>
      <c r="M454" s="132"/>
    </row>
    <row r="455" spans="12:13" x14ac:dyDescent="0.2">
      <c r="L455" s="129"/>
      <c r="M455" s="132"/>
    </row>
    <row r="456" spans="12:13" x14ac:dyDescent="0.2">
      <c r="L456" s="129"/>
      <c r="M456" s="132"/>
    </row>
    <row r="457" spans="12:13" x14ac:dyDescent="0.2">
      <c r="L457" s="129"/>
      <c r="M457" s="132"/>
    </row>
    <row r="458" spans="12:13" x14ac:dyDescent="0.2">
      <c r="L458" s="129"/>
      <c r="M458" s="132"/>
    </row>
    <row r="459" spans="12:13" x14ac:dyDescent="0.2">
      <c r="L459" s="129"/>
      <c r="M459" s="132"/>
    </row>
    <row r="460" spans="12:13" x14ac:dyDescent="0.2">
      <c r="L460" s="129"/>
      <c r="M460" s="132"/>
    </row>
    <row r="461" spans="12:13" x14ac:dyDescent="0.2">
      <c r="L461" s="129"/>
      <c r="M461" s="132"/>
    </row>
    <row r="462" spans="12:13" x14ac:dyDescent="0.2">
      <c r="L462" s="129"/>
      <c r="M462" s="132"/>
    </row>
    <row r="463" spans="12:13" x14ac:dyDescent="0.2">
      <c r="L463" s="129"/>
      <c r="M463" s="132"/>
    </row>
    <row r="464" spans="12:13" x14ac:dyDescent="0.2">
      <c r="L464" s="129"/>
      <c r="M464" s="132"/>
    </row>
    <row r="465" spans="12:13" x14ac:dyDescent="0.2">
      <c r="L465" s="129"/>
      <c r="M465" s="132"/>
    </row>
    <row r="466" spans="12:13" x14ac:dyDescent="0.2">
      <c r="L466" s="129"/>
      <c r="M466" s="132"/>
    </row>
    <row r="467" spans="12:13" x14ac:dyDescent="0.2">
      <c r="L467" s="129"/>
      <c r="M467" s="132"/>
    </row>
    <row r="468" spans="12:13" x14ac:dyDescent="0.2">
      <c r="L468" s="129"/>
      <c r="M468" s="132"/>
    </row>
    <row r="469" spans="12:13" x14ac:dyDescent="0.2">
      <c r="L469" s="129"/>
      <c r="M469" s="132"/>
    </row>
    <row r="470" spans="12:13" x14ac:dyDescent="0.2">
      <c r="L470" s="129"/>
      <c r="M470" s="132"/>
    </row>
    <row r="471" spans="12:13" x14ac:dyDescent="0.2">
      <c r="L471" s="129"/>
      <c r="M471" s="132"/>
    </row>
    <row r="472" spans="12:13" x14ac:dyDescent="0.2">
      <c r="L472" s="129"/>
      <c r="M472" s="132"/>
    </row>
    <row r="473" spans="12:13" x14ac:dyDescent="0.2">
      <c r="L473" s="129"/>
      <c r="M473" s="132"/>
    </row>
    <row r="474" spans="12:13" x14ac:dyDescent="0.2">
      <c r="L474" s="129"/>
      <c r="M474" s="132"/>
    </row>
    <row r="475" spans="12:13" x14ac:dyDescent="0.2">
      <c r="L475" s="129"/>
      <c r="M475" s="132"/>
    </row>
    <row r="476" spans="12:13" x14ac:dyDescent="0.2">
      <c r="L476" s="129"/>
      <c r="M476" s="132"/>
    </row>
    <row r="477" spans="12:13" x14ac:dyDescent="0.2">
      <c r="L477" s="129"/>
      <c r="M477" s="132"/>
    </row>
    <row r="478" spans="12:13" x14ac:dyDescent="0.2">
      <c r="L478" s="129"/>
      <c r="M478" s="132"/>
    </row>
    <row r="479" spans="12:13" x14ac:dyDescent="0.2">
      <c r="L479" s="129"/>
      <c r="M479" s="132"/>
    </row>
    <row r="480" spans="12:13" x14ac:dyDescent="0.2">
      <c r="L480" s="129"/>
      <c r="M480" s="132"/>
    </row>
    <row r="481" spans="12:13" x14ac:dyDescent="0.2">
      <c r="L481" s="129"/>
      <c r="M481" s="132"/>
    </row>
    <row r="482" spans="12:13" x14ac:dyDescent="0.2">
      <c r="L482" s="129"/>
      <c r="M482" s="132"/>
    </row>
    <row r="483" spans="12:13" x14ac:dyDescent="0.2">
      <c r="L483" s="129"/>
      <c r="M483" s="132"/>
    </row>
    <row r="484" spans="12:13" x14ac:dyDescent="0.2">
      <c r="L484" s="129"/>
      <c r="M484" s="132"/>
    </row>
    <row r="485" spans="12:13" x14ac:dyDescent="0.2">
      <c r="L485" s="129"/>
      <c r="M485" s="132"/>
    </row>
    <row r="486" spans="12:13" x14ac:dyDescent="0.2">
      <c r="L486" s="129"/>
      <c r="M486" s="132"/>
    </row>
    <row r="487" spans="12:13" x14ac:dyDescent="0.2">
      <c r="L487" s="129"/>
      <c r="M487" s="132"/>
    </row>
    <row r="488" spans="12:13" x14ac:dyDescent="0.2">
      <c r="L488" s="129"/>
      <c r="M488" s="132"/>
    </row>
    <row r="489" spans="12:13" x14ac:dyDescent="0.2">
      <c r="L489" s="129"/>
      <c r="M489" s="132"/>
    </row>
    <row r="490" spans="12:13" x14ac:dyDescent="0.2">
      <c r="L490" s="129"/>
      <c r="M490" s="132"/>
    </row>
    <row r="491" spans="12:13" x14ac:dyDescent="0.2">
      <c r="L491" s="129"/>
      <c r="M491" s="132"/>
    </row>
    <row r="492" spans="12:13" x14ac:dyDescent="0.2">
      <c r="L492" s="129"/>
      <c r="M492" s="132"/>
    </row>
    <row r="493" spans="12:13" x14ac:dyDescent="0.2">
      <c r="L493" s="129"/>
      <c r="M493" s="132"/>
    </row>
    <row r="494" spans="12:13" x14ac:dyDescent="0.2">
      <c r="L494" s="129"/>
      <c r="M494" s="132"/>
    </row>
    <row r="495" spans="12:13" x14ac:dyDescent="0.2">
      <c r="L495" s="129"/>
      <c r="M495" s="132"/>
    </row>
    <row r="496" spans="12:13" x14ac:dyDescent="0.2">
      <c r="L496" s="129"/>
      <c r="M496" s="132"/>
    </row>
    <row r="497" spans="12:13" x14ac:dyDescent="0.2">
      <c r="L497" s="129"/>
      <c r="M497" s="132"/>
    </row>
    <row r="498" spans="12:13" x14ac:dyDescent="0.2">
      <c r="L498" s="129"/>
      <c r="M498" s="132"/>
    </row>
    <row r="499" spans="12:13" x14ac:dyDescent="0.2">
      <c r="L499" s="129"/>
      <c r="M499" s="132"/>
    </row>
    <row r="500" spans="12:13" x14ac:dyDescent="0.2">
      <c r="L500" s="129"/>
      <c r="M500" s="132"/>
    </row>
    <row r="501" spans="12:13" x14ac:dyDescent="0.2">
      <c r="L501" s="129"/>
      <c r="M501" s="132"/>
    </row>
    <row r="502" spans="12:13" x14ac:dyDescent="0.2">
      <c r="L502" s="129"/>
      <c r="M502" s="132"/>
    </row>
    <row r="503" spans="12:13" x14ac:dyDescent="0.2">
      <c r="L503" s="129"/>
      <c r="M503" s="132"/>
    </row>
    <row r="504" spans="12:13" x14ac:dyDescent="0.2">
      <c r="L504" s="129"/>
      <c r="M504" s="132"/>
    </row>
    <row r="505" spans="12:13" x14ac:dyDescent="0.2">
      <c r="L505" s="129"/>
      <c r="M505" s="132"/>
    </row>
    <row r="506" spans="12:13" x14ac:dyDescent="0.2">
      <c r="L506" s="129"/>
      <c r="M506" s="132"/>
    </row>
    <row r="507" spans="12:13" x14ac:dyDescent="0.2">
      <c r="L507" s="129"/>
      <c r="M507" s="132"/>
    </row>
    <row r="508" spans="12:13" x14ac:dyDescent="0.2">
      <c r="L508" s="129"/>
      <c r="M508" s="132"/>
    </row>
    <row r="509" spans="12:13" x14ac:dyDescent="0.2">
      <c r="L509" s="129"/>
      <c r="M509" s="132"/>
    </row>
    <row r="510" spans="12:13" x14ac:dyDescent="0.2">
      <c r="L510" s="129"/>
      <c r="M510" s="132"/>
    </row>
    <row r="511" spans="12:13" x14ac:dyDescent="0.2">
      <c r="L511" s="129"/>
      <c r="M511" s="132"/>
    </row>
    <row r="512" spans="12:13" x14ac:dyDescent="0.2">
      <c r="L512" s="129"/>
      <c r="M512" s="132"/>
    </row>
    <row r="513" spans="12:13" x14ac:dyDescent="0.2">
      <c r="L513" s="129"/>
      <c r="M513" s="132"/>
    </row>
    <row r="514" spans="12:13" x14ac:dyDescent="0.2">
      <c r="L514" s="129"/>
      <c r="M514" s="132"/>
    </row>
    <row r="515" spans="12:13" x14ac:dyDescent="0.2">
      <c r="L515" s="129"/>
      <c r="M515" s="132"/>
    </row>
    <row r="516" spans="12:13" x14ac:dyDescent="0.2">
      <c r="L516" s="129"/>
      <c r="M516" s="132"/>
    </row>
    <row r="517" spans="12:13" x14ac:dyDescent="0.2">
      <c r="L517" s="129"/>
      <c r="M517" s="132"/>
    </row>
    <row r="518" spans="12:13" x14ac:dyDescent="0.2">
      <c r="L518" s="129"/>
      <c r="M518" s="132"/>
    </row>
    <row r="519" spans="12:13" x14ac:dyDescent="0.2">
      <c r="L519" s="129"/>
      <c r="M519" s="132"/>
    </row>
    <row r="520" spans="12:13" x14ac:dyDescent="0.2">
      <c r="L520" s="129"/>
      <c r="M520" s="132"/>
    </row>
    <row r="521" spans="12:13" x14ac:dyDescent="0.2">
      <c r="L521" s="129"/>
      <c r="M521" s="132"/>
    </row>
    <row r="522" spans="12:13" x14ac:dyDescent="0.2">
      <c r="L522" s="129"/>
      <c r="M522" s="132"/>
    </row>
    <row r="523" spans="12:13" x14ac:dyDescent="0.2">
      <c r="L523" s="129"/>
      <c r="M523" s="132"/>
    </row>
    <row r="524" spans="12:13" x14ac:dyDescent="0.2">
      <c r="L524" s="129"/>
      <c r="M524" s="132"/>
    </row>
    <row r="525" spans="12:13" x14ac:dyDescent="0.2">
      <c r="L525" s="129"/>
      <c r="M525" s="132"/>
    </row>
    <row r="526" spans="12:13" x14ac:dyDescent="0.2">
      <c r="L526" s="129"/>
      <c r="M526" s="132"/>
    </row>
    <row r="527" spans="12:13" x14ac:dyDescent="0.2">
      <c r="L527" s="129"/>
      <c r="M527" s="132"/>
    </row>
    <row r="528" spans="12:13" x14ac:dyDescent="0.2">
      <c r="L528" s="129"/>
      <c r="M528" s="132"/>
    </row>
    <row r="529" spans="12:13" x14ac:dyDescent="0.2">
      <c r="L529" s="129"/>
      <c r="M529" s="132"/>
    </row>
    <row r="530" spans="12:13" x14ac:dyDescent="0.2">
      <c r="L530" s="129"/>
      <c r="M530" s="132"/>
    </row>
    <row r="531" spans="12:13" x14ac:dyDescent="0.2">
      <c r="L531" s="129"/>
      <c r="M531" s="132"/>
    </row>
    <row r="532" spans="12:13" x14ac:dyDescent="0.2">
      <c r="L532" s="129"/>
      <c r="M532" s="132"/>
    </row>
    <row r="533" spans="12:13" x14ac:dyDescent="0.2">
      <c r="L533" s="129"/>
      <c r="M533" s="132"/>
    </row>
    <row r="534" spans="12:13" x14ac:dyDescent="0.2">
      <c r="L534" s="129"/>
      <c r="M534" s="132"/>
    </row>
    <row r="535" spans="12:13" x14ac:dyDescent="0.2">
      <c r="L535" s="129"/>
      <c r="M535" s="132"/>
    </row>
    <row r="536" spans="12:13" x14ac:dyDescent="0.2">
      <c r="L536" s="129"/>
      <c r="M536" s="132"/>
    </row>
    <row r="537" spans="12:13" x14ac:dyDescent="0.2">
      <c r="L537" s="129"/>
      <c r="M537" s="132"/>
    </row>
    <row r="538" spans="12:13" x14ac:dyDescent="0.2">
      <c r="L538" s="129"/>
      <c r="M538" s="132"/>
    </row>
    <row r="539" spans="12:13" x14ac:dyDescent="0.2">
      <c r="L539" s="129"/>
      <c r="M539" s="132"/>
    </row>
    <row r="540" spans="12:13" x14ac:dyDescent="0.2">
      <c r="L540" s="129"/>
      <c r="M540" s="132"/>
    </row>
    <row r="541" spans="12:13" x14ac:dyDescent="0.2">
      <c r="L541" s="129"/>
      <c r="M541" s="132"/>
    </row>
    <row r="542" spans="12:13" x14ac:dyDescent="0.2">
      <c r="L542" s="129"/>
      <c r="M542" s="132"/>
    </row>
    <row r="543" spans="12:13" x14ac:dyDescent="0.2">
      <c r="L543" s="129"/>
      <c r="M543" s="132"/>
    </row>
    <row r="544" spans="12:13" x14ac:dyDescent="0.2">
      <c r="L544" s="129"/>
      <c r="M544" s="132"/>
    </row>
    <row r="545" spans="12:13" x14ac:dyDescent="0.2">
      <c r="L545" s="129"/>
      <c r="M545" s="132"/>
    </row>
    <row r="546" spans="12:13" x14ac:dyDescent="0.2">
      <c r="L546" s="129"/>
      <c r="M546" s="132"/>
    </row>
    <row r="547" spans="12:13" x14ac:dyDescent="0.2">
      <c r="L547" s="129"/>
      <c r="M547" s="132"/>
    </row>
    <row r="548" spans="12:13" x14ac:dyDescent="0.2">
      <c r="L548" s="129"/>
      <c r="M548" s="132"/>
    </row>
    <row r="549" spans="12:13" x14ac:dyDescent="0.2">
      <c r="L549" s="129"/>
      <c r="M549" s="132"/>
    </row>
    <row r="550" spans="12:13" x14ac:dyDescent="0.2">
      <c r="L550" s="129"/>
      <c r="M550" s="132"/>
    </row>
    <row r="551" spans="12:13" x14ac:dyDescent="0.2">
      <c r="L551" s="129"/>
      <c r="M551" s="132"/>
    </row>
    <row r="552" spans="12:13" x14ac:dyDescent="0.2">
      <c r="L552" s="129"/>
      <c r="M552" s="132"/>
    </row>
    <row r="553" spans="12:13" x14ac:dyDescent="0.2">
      <c r="L553" s="129"/>
      <c r="M553" s="132"/>
    </row>
    <row r="554" spans="12:13" x14ac:dyDescent="0.2">
      <c r="L554" s="129"/>
      <c r="M554" s="132"/>
    </row>
    <row r="555" spans="12:13" x14ac:dyDescent="0.2">
      <c r="L555" s="129"/>
      <c r="M555" s="132"/>
    </row>
    <row r="556" spans="12:13" x14ac:dyDescent="0.2">
      <c r="L556" s="129"/>
      <c r="M556" s="132"/>
    </row>
    <row r="557" spans="12:13" x14ac:dyDescent="0.2">
      <c r="L557" s="129"/>
      <c r="M557" s="132"/>
    </row>
    <row r="558" spans="12:13" x14ac:dyDescent="0.2">
      <c r="L558" s="129"/>
      <c r="M558" s="132"/>
    </row>
    <row r="559" spans="12:13" x14ac:dyDescent="0.2">
      <c r="L559" s="129"/>
      <c r="M559" s="132"/>
    </row>
    <row r="560" spans="12:13" x14ac:dyDescent="0.2">
      <c r="L560" s="129"/>
      <c r="M560" s="132"/>
    </row>
    <row r="561" spans="12:13" x14ac:dyDescent="0.2">
      <c r="L561" s="129"/>
      <c r="M561" s="132"/>
    </row>
    <row r="562" spans="12:13" x14ac:dyDescent="0.2">
      <c r="L562" s="129"/>
      <c r="M562" s="132"/>
    </row>
    <row r="563" spans="12:13" x14ac:dyDescent="0.2">
      <c r="L563" s="129"/>
      <c r="M563" s="132"/>
    </row>
    <row r="564" spans="12:13" x14ac:dyDescent="0.2">
      <c r="L564" s="129"/>
      <c r="M564" s="132"/>
    </row>
    <row r="565" spans="12:13" x14ac:dyDescent="0.2">
      <c r="L565" s="129"/>
      <c r="M565" s="132"/>
    </row>
    <row r="566" spans="12:13" x14ac:dyDescent="0.2">
      <c r="L566" s="129"/>
      <c r="M566" s="132"/>
    </row>
    <row r="567" spans="12:13" x14ac:dyDescent="0.2">
      <c r="L567" s="129"/>
      <c r="M567" s="132"/>
    </row>
    <row r="568" spans="12:13" x14ac:dyDescent="0.2">
      <c r="L568" s="129"/>
      <c r="M568" s="132"/>
    </row>
    <row r="569" spans="12:13" x14ac:dyDescent="0.2">
      <c r="L569" s="129"/>
      <c r="M569" s="132"/>
    </row>
    <row r="570" spans="12:13" x14ac:dyDescent="0.2">
      <c r="L570" s="129"/>
      <c r="M570" s="132"/>
    </row>
    <row r="571" spans="12:13" x14ac:dyDescent="0.2">
      <c r="L571" s="129"/>
      <c r="M571" s="132"/>
    </row>
    <row r="572" spans="12:13" x14ac:dyDescent="0.2">
      <c r="L572" s="129"/>
      <c r="M572" s="132"/>
    </row>
    <row r="573" spans="12:13" x14ac:dyDescent="0.2">
      <c r="L573" s="129"/>
      <c r="M573" s="132"/>
    </row>
    <row r="574" spans="12:13" x14ac:dyDescent="0.2">
      <c r="L574" s="129"/>
      <c r="M574" s="132"/>
    </row>
    <row r="575" spans="12:13" x14ac:dyDescent="0.2">
      <c r="L575" s="129"/>
      <c r="M575" s="132"/>
    </row>
    <row r="576" spans="12:13" x14ac:dyDescent="0.2">
      <c r="L576" s="129"/>
      <c r="M576" s="132"/>
    </row>
    <row r="577" spans="12:13" x14ac:dyDescent="0.2">
      <c r="L577" s="129"/>
      <c r="M577" s="132"/>
    </row>
    <row r="578" spans="12:13" x14ac:dyDescent="0.2">
      <c r="L578" s="129"/>
      <c r="M578" s="132"/>
    </row>
    <row r="579" spans="12:13" x14ac:dyDescent="0.2">
      <c r="L579" s="129"/>
      <c r="M579" s="132"/>
    </row>
    <row r="580" spans="12:13" x14ac:dyDescent="0.2">
      <c r="L580" s="129"/>
      <c r="M580" s="132"/>
    </row>
    <row r="581" spans="12:13" x14ac:dyDescent="0.2">
      <c r="L581" s="129"/>
      <c r="M581" s="132"/>
    </row>
    <row r="582" spans="12:13" x14ac:dyDescent="0.2">
      <c r="L582" s="129"/>
      <c r="M582" s="132"/>
    </row>
    <row r="583" spans="12:13" x14ac:dyDescent="0.2">
      <c r="L583" s="129"/>
      <c r="M583" s="132"/>
    </row>
    <row r="584" spans="12:13" x14ac:dyDescent="0.2">
      <c r="L584" s="129"/>
      <c r="M584" s="132"/>
    </row>
    <row r="585" spans="12:13" x14ac:dyDescent="0.2">
      <c r="L585" s="129"/>
      <c r="M585" s="132"/>
    </row>
    <row r="586" spans="12:13" x14ac:dyDescent="0.2">
      <c r="L586" s="129"/>
      <c r="M586" s="132"/>
    </row>
    <row r="587" spans="12:13" x14ac:dyDescent="0.2">
      <c r="L587" s="129"/>
      <c r="M587" s="132"/>
    </row>
    <row r="588" spans="12:13" x14ac:dyDescent="0.2">
      <c r="L588" s="129"/>
      <c r="M588" s="132"/>
    </row>
    <row r="589" spans="12:13" x14ac:dyDescent="0.2">
      <c r="L589" s="129"/>
      <c r="M589" s="132"/>
    </row>
    <row r="590" spans="12:13" x14ac:dyDescent="0.2">
      <c r="L590" s="129"/>
      <c r="M590" s="132"/>
    </row>
    <row r="591" spans="12:13" x14ac:dyDescent="0.2">
      <c r="L591" s="129"/>
      <c r="M591" s="132"/>
    </row>
    <row r="592" spans="12:13" x14ac:dyDescent="0.2">
      <c r="L592" s="129"/>
      <c r="M592" s="132"/>
    </row>
    <row r="593" spans="12:13" x14ac:dyDescent="0.2">
      <c r="L593" s="129"/>
      <c r="M593" s="132"/>
    </row>
    <row r="594" spans="12:13" x14ac:dyDescent="0.2">
      <c r="L594" s="129"/>
      <c r="M594" s="132"/>
    </row>
    <row r="595" spans="12:13" x14ac:dyDescent="0.2">
      <c r="L595" s="129"/>
      <c r="M595" s="132"/>
    </row>
    <row r="596" spans="12:13" x14ac:dyDescent="0.2">
      <c r="L596" s="129"/>
      <c r="M596" s="132"/>
    </row>
    <row r="597" spans="12:13" x14ac:dyDescent="0.2">
      <c r="L597" s="129"/>
      <c r="M597" s="132"/>
    </row>
    <row r="598" spans="12:13" x14ac:dyDescent="0.2">
      <c r="L598" s="129"/>
      <c r="M598" s="132"/>
    </row>
    <row r="599" spans="12:13" x14ac:dyDescent="0.2">
      <c r="L599" s="129"/>
      <c r="M599" s="132"/>
    </row>
    <row r="600" spans="12:13" x14ac:dyDescent="0.2">
      <c r="L600" s="129"/>
      <c r="M600" s="132"/>
    </row>
    <row r="601" spans="12:13" x14ac:dyDescent="0.2">
      <c r="L601" s="129"/>
      <c r="M601" s="132"/>
    </row>
    <row r="602" spans="12:13" x14ac:dyDescent="0.2">
      <c r="L602" s="129"/>
      <c r="M602" s="132"/>
    </row>
    <row r="603" spans="12:13" x14ac:dyDescent="0.2">
      <c r="L603" s="129"/>
      <c r="M603" s="132"/>
    </row>
    <row r="604" spans="12:13" x14ac:dyDescent="0.2">
      <c r="L604" s="129"/>
      <c r="M604" s="132"/>
    </row>
    <row r="605" spans="12:13" x14ac:dyDescent="0.2">
      <c r="L605" s="129"/>
      <c r="M605" s="132"/>
    </row>
    <row r="606" spans="12:13" x14ac:dyDescent="0.2">
      <c r="L606" s="129"/>
      <c r="M606" s="132"/>
    </row>
    <row r="607" spans="12:13" x14ac:dyDescent="0.2">
      <c r="L607" s="129"/>
      <c r="M607" s="132"/>
    </row>
    <row r="608" spans="12:13" x14ac:dyDescent="0.2">
      <c r="L608" s="129"/>
      <c r="M608" s="132"/>
    </row>
    <row r="609" spans="12:13" x14ac:dyDescent="0.2">
      <c r="L609" s="129"/>
      <c r="M609" s="132"/>
    </row>
    <row r="610" spans="12:13" x14ac:dyDescent="0.2">
      <c r="L610" s="129"/>
      <c r="M610" s="132"/>
    </row>
    <row r="611" spans="12:13" x14ac:dyDescent="0.2">
      <c r="L611" s="129"/>
      <c r="M611" s="132"/>
    </row>
    <row r="612" spans="12:13" x14ac:dyDescent="0.2">
      <c r="L612" s="129"/>
      <c r="M612" s="132"/>
    </row>
    <row r="613" spans="12:13" x14ac:dyDescent="0.2">
      <c r="L613" s="129"/>
      <c r="M613" s="132"/>
    </row>
    <row r="614" spans="12:13" x14ac:dyDescent="0.2">
      <c r="L614" s="129"/>
      <c r="M614" s="132"/>
    </row>
    <row r="615" spans="12:13" x14ac:dyDescent="0.2">
      <c r="L615" s="129"/>
      <c r="M615" s="132"/>
    </row>
    <row r="616" spans="12:13" x14ac:dyDescent="0.2">
      <c r="L616" s="129"/>
      <c r="M616" s="132"/>
    </row>
    <row r="617" spans="12:13" x14ac:dyDescent="0.2">
      <c r="L617" s="129"/>
      <c r="M617" s="132"/>
    </row>
    <row r="618" spans="12:13" x14ac:dyDescent="0.2">
      <c r="L618" s="129"/>
      <c r="M618" s="132"/>
    </row>
    <row r="619" spans="12:13" x14ac:dyDescent="0.2">
      <c r="L619" s="129"/>
      <c r="M619" s="132"/>
    </row>
    <row r="620" spans="12:13" x14ac:dyDescent="0.2">
      <c r="L620" s="129"/>
      <c r="M620" s="132"/>
    </row>
    <row r="621" spans="12:13" x14ac:dyDescent="0.2">
      <c r="L621" s="129"/>
      <c r="M621" s="132"/>
    </row>
    <row r="622" spans="12:13" x14ac:dyDescent="0.2">
      <c r="L622" s="129"/>
      <c r="M622" s="132"/>
    </row>
    <row r="623" spans="12:13" x14ac:dyDescent="0.2">
      <c r="L623" s="129"/>
      <c r="M623" s="132"/>
    </row>
    <row r="624" spans="12:13" x14ac:dyDescent="0.2">
      <c r="L624" s="129"/>
      <c r="M624" s="132"/>
    </row>
    <row r="625" spans="12:13" x14ac:dyDescent="0.2">
      <c r="L625" s="129"/>
      <c r="M625" s="132"/>
    </row>
    <row r="626" spans="12:13" x14ac:dyDescent="0.2">
      <c r="L626" s="129"/>
      <c r="M626" s="132"/>
    </row>
    <row r="627" spans="12:13" x14ac:dyDescent="0.2">
      <c r="L627" s="129"/>
      <c r="M627" s="132"/>
    </row>
    <row r="628" spans="12:13" x14ac:dyDescent="0.2">
      <c r="L628" s="129"/>
      <c r="M628" s="132"/>
    </row>
    <row r="629" spans="12:13" x14ac:dyDescent="0.2">
      <c r="L629" s="129"/>
      <c r="M629" s="132"/>
    </row>
    <row r="630" spans="12:13" x14ac:dyDescent="0.2">
      <c r="L630" s="129"/>
      <c r="M630" s="132"/>
    </row>
    <row r="631" spans="12:13" x14ac:dyDescent="0.2">
      <c r="L631" s="129"/>
      <c r="M631" s="132"/>
    </row>
    <row r="632" spans="12:13" x14ac:dyDescent="0.2">
      <c r="L632" s="129"/>
      <c r="M632" s="132"/>
    </row>
    <row r="633" spans="12:13" x14ac:dyDescent="0.2">
      <c r="L633" s="129"/>
      <c r="M633" s="132"/>
    </row>
    <row r="634" spans="12:13" x14ac:dyDescent="0.2">
      <c r="L634" s="129"/>
      <c r="M634" s="132"/>
    </row>
    <row r="635" spans="12:13" x14ac:dyDescent="0.2">
      <c r="L635" s="129"/>
      <c r="M635" s="132"/>
    </row>
    <row r="636" spans="12:13" x14ac:dyDescent="0.2">
      <c r="L636" s="129"/>
      <c r="M636" s="132"/>
    </row>
    <row r="637" spans="12:13" x14ac:dyDescent="0.2">
      <c r="L637" s="129"/>
      <c r="M637" s="132"/>
    </row>
    <row r="638" spans="12:13" x14ac:dyDescent="0.2">
      <c r="L638" s="129"/>
      <c r="M638" s="132"/>
    </row>
    <row r="639" spans="12:13" x14ac:dyDescent="0.2">
      <c r="L639" s="129"/>
      <c r="M639" s="132"/>
    </row>
    <row r="640" spans="12:13" x14ac:dyDescent="0.2">
      <c r="L640" s="129"/>
      <c r="M640" s="132"/>
    </row>
    <row r="641" spans="12:13" x14ac:dyDescent="0.2">
      <c r="L641" s="129"/>
      <c r="M641" s="132"/>
    </row>
    <row r="642" spans="12:13" x14ac:dyDescent="0.2">
      <c r="L642" s="129"/>
      <c r="M642" s="132"/>
    </row>
    <row r="643" spans="12:13" x14ac:dyDescent="0.2">
      <c r="L643" s="129"/>
      <c r="M643" s="132"/>
    </row>
    <row r="644" spans="12:13" x14ac:dyDescent="0.2">
      <c r="L644" s="129"/>
      <c r="M644" s="132"/>
    </row>
    <row r="645" spans="12:13" x14ac:dyDescent="0.2">
      <c r="L645" s="129"/>
      <c r="M645" s="132"/>
    </row>
    <row r="646" spans="12:13" x14ac:dyDescent="0.2">
      <c r="L646" s="129"/>
      <c r="M646" s="132"/>
    </row>
    <row r="647" spans="12:13" x14ac:dyDescent="0.2">
      <c r="L647" s="129"/>
      <c r="M647" s="132"/>
    </row>
    <row r="648" spans="12:13" x14ac:dyDescent="0.2">
      <c r="L648" s="129"/>
      <c r="M648" s="132"/>
    </row>
    <row r="649" spans="12:13" x14ac:dyDescent="0.2">
      <c r="L649" s="129"/>
      <c r="M649" s="132"/>
    </row>
    <row r="650" spans="12:13" x14ac:dyDescent="0.2">
      <c r="L650" s="129"/>
      <c r="M650" s="132"/>
    </row>
    <row r="651" spans="12:13" x14ac:dyDescent="0.2">
      <c r="L651" s="129"/>
      <c r="M651" s="132"/>
    </row>
    <row r="652" spans="12:13" x14ac:dyDescent="0.2">
      <c r="L652" s="129"/>
      <c r="M652" s="132"/>
    </row>
    <row r="653" spans="12:13" x14ac:dyDescent="0.2">
      <c r="L653" s="129"/>
      <c r="M653" s="132"/>
    </row>
    <row r="654" spans="12:13" x14ac:dyDescent="0.2">
      <c r="L654" s="129"/>
      <c r="M654" s="132"/>
    </row>
    <row r="655" spans="12:13" x14ac:dyDescent="0.2">
      <c r="L655" s="129"/>
      <c r="M655" s="132"/>
    </row>
    <row r="656" spans="12:13" x14ac:dyDescent="0.2">
      <c r="L656" s="129"/>
      <c r="M656" s="132"/>
    </row>
    <row r="657" spans="12:13" x14ac:dyDescent="0.2">
      <c r="L657" s="129"/>
      <c r="M657" s="132"/>
    </row>
    <row r="658" spans="12:13" x14ac:dyDescent="0.2">
      <c r="L658" s="129"/>
      <c r="M658" s="132"/>
    </row>
    <row r="659" spans="12:13" x14ac:dyDescent="0.2">
      <c r="L659" s="129"/>
      <c r="M659" s="132"/>
    </row>
    <row r="660" spans="12:13" x14ac:dyDescent="0.2">
      <c r="L660" s="129"/>
      <c r="M660" s="132"/>
    </row>
    <row r="661" spans="12:13" x14ac:dyDescent="0.2">
      <c r="L661" s="129"/>
      <c r="M661" s="132"/>
    </row>
    <row r="662" spans="12:13" x14ac:dyDescent="0.2">
      <c r="L662" s="129"/>
      <c r="M662" s="132"/>
    </row>
    <row r="663" spans="12:13" x14ac:dyDescent="0.2">
      <c r="L663" s="129"/>
      <c r="M663" s="132"/>
    </row>
    <row r="664" spans="12:13" x14ac:dyDescent="0.2">
      <c r="L664" s="129"/>
      <c r="M664" s="132"/>
    </row>
    <row r="665" spans="12:13" x14ac:dyDescent="0.2">
      <c r="L665" s="129"/>
      <c r="M665" s="132"/>
    </row>
    <row r="666" spans="12:13" x14ac:dyDescent="0.2">
      <c r="L666" s="129"/>
      <c r="M666" s="132"/>
    </row>
    <row r="667" spans="12:13" x14ac:dyDescent="0.2">
      <c r="L667" s="129"/>
      <c r="M667" s="132"/>
    </row>
    <row r="668" spans="12:13" x14ac:dyDescent="0.2">
      <c r="L668" s="129"/>
      <c r="M668" s="132"/>
    </row>
    <row r="669" spans="12:13" x14ac:dyDescent="0.2">
      <c r="L669" s="129"/>
      <c r="M669" s="132"/>
    </row>
    <row r="670" spans="12:13" x14ac:dyDescent="0.2">
      <c r="L670" s="129"/>
      <c r="M670" s="132"/>
    </row>
    <row r="671" spans="12:13" x14ac:dyDescent="0.2">
      <c r="L671" s="129"/>
      <c r="M671" s="132"/>
    </row>
    <row r="672" spans="12:13" x14ac:dyDescent="0.2">
      <c r="L672" s="129"/>
      <c r="M672" s="132"/>
    </row>
    <row r="673" spans="12:13" x14ac:dyDescent="0.2">
      <c r="L673" s="129"/>
      <c r="M673" s="132"/>
    </row>
    <row r="674" spans="12:13" x14ac:dyDescent="0.2">
      <c r="L674" s="129"/>
      <c r="M674" s="132"/>
    </row>
    <row r="675" spans="12:13" x14ac:dyDescent="0.2">
      <c r="L675" s="129"/>
      <c r="M675" s="132"/>
    </row>
    <row r="676" spans="12:13" x14ac:dyDescent="0.2">
      <c r="L676" s="129"/>
      <c r="M676" s="132"/>
    </row>
    <row r="677" spans="12:13" x14ac:dyDescent="0.2">
      <c r="L677" s="129"/>
      <c r="M677" s="132"/>
    </row>
    <row r="678" spans="12:13" x14ac:dyDescent="0.2">
      <c r="L678" s="129"/>
      <c r="M678" s="132"/>
    </row>
    <row r="679" spans="12:13" x14ac:dyDescent="0.2">
      <c r="L679" s="129"/>
      <c r="M679" s="132"/>
    </row>
    <row r="680" spans="12:13" x14ac:dyDescent="0.2">
      <c r="L680" s="129"/>
      <c r="M680" s="132"/>
    </row>
    <row r="681" spans="12:13" x14ac:dyDescent="0.2">
      <c r="L681" s="129"/>
      <c r="M681" s="132"/>
    </row>
    <row r="682" spans="12:13" x14ac:dyDescent="0.2">
      <c r="L682" s="129"/>
      <c r="M682" s="132"/>
    </row>
    <row r="683" spans="12:13" x14ac:dyDescent="0.2">
      <c r="L683" s="129"/>
      <c r="M683" s="132"/>
    </row>
    <row r="684" spans="12:13" x14ac:dyDescent="0.2">
      <c r="L684" s="129"/>
      <c r="M684" s="132"/>
    </row>
    <row r="685" spans="12:13" x14ac:dyDescent="0.2">
      <c r="L685" s="129"/>
      <c r="M685" s="132"/>
    </row>
    <row r="686" spans="12:13" x14ac:dyDescent="0.2">
      <c r="L686" s="129"/>
      <c r="M686" s="132"/>
    </row>
    <row r="687" spans="12:13" x14ac:dyDescent="0.2">
      <c r="L687" s="129"/>
      <c r="M687" s="132"/>
    </row>
    <row r="688" spans="12:13" x14ac:dyDescent="0.2">
      <c r="L688" s="129"/>
      <c r="M688" s="132"/>
    </row>
    <row r="689" spans="12:13" x14ac:dyDescent="0.2">
      <c r="L689" s="129"/>
      <c r="M689" s="132"/>
    </row>
    <row r="690" spans="12:13" x14ac:dyDescent="0.2">
      <c r="L690" s="129"/>
      <c r="M690" s="132"/>
    </row>
    <row r="691" spans="12:13" x14ac:dyDescent="0.2">
      <c r="L691" s="129"/>
      <c r="M691" s="132"/>
    </row>
    <row r="692" spans="12:13" x14ac:dyDescent="0.2">
      <c r="L692" s="129"/>
      <c r="M692" s="132"/>
    </row>
    <row r="693" spans="12:13" x14ac:dyDescent="0.2">
      <c r="L693" s="129"/>
      <c r="M693" s="132"/>
    </row>
    <row r="694" spans="12:13" x14ac:dyDescent="0.2">
      <c r="L694" s="129"/>
      <c r="M694" s="132"/>
    </row>
    <row r="695" spans="12:13" x14ac:dyDescent="0.2">
      <c r="L695" s="129"/>
      <c r="M695" s="132"/>
    </row>
    <row r="696" spans="12:13" x14ac:dyDescent="0.2">
      <c r="L696" s="129"/>
      <c r="M696" s="132"/>
    </row>
    <row r="697" spans="12:13" x14ac:dyDescent="0.2">
      <c r="L697" s="129"/>
      <c r="M697" s="132"/>
    </row>
    <row r="698" spans="12:13" x14ac:dyDescent="0.2">
      <c r="L698" s="129"/>
      <c r="M698" s="132"/>
    </row>
    <row r="699" spans="12:13" x14ac:dyDescent="0.2">
      <c r="L699" s="129"/>
      <c r="M699" s="132"/>
    </row>
    <row r="700" spans="12:13" x14ac:dyDescent="0.2">
      <c r="L700" s="129"/>
      <c r="M700" s="132"/>
    </row>
    <row r="701" spans="12:13" x14ac:dyDescent="0.2">
      <c r="L701" s="129"/>
      <c r="M701" s="132"/>
    </row>
    <row r="702" spans="12:13" x14ac:dyDescent="0.2">
      <c r="L702" s="129"/>
      <c r="M702" s="132"/>
    </row>
    <row r="703" spans="12:13" x14ac:dyDescent="0.2">
      <c r="L703" s="129"/>
      <c r="M703" s="132"/>
    </row>
    <row r="704" spans="12:13" x14ac:dyDescent="0.2">
      <c r="L704" s="129"/>
      <c r="M704" s="132"/>
    </row>
    <row r="705" spans="12:13" x14ac:dyDescent="0.2">
      <c r="L705" s="129"/>
      <c r="M705" s="132"/>
    </row>
    <row r="706" spans="12:13" x14ac:dyDescent="0.2">
      <c r="L706" s="129"/>
      <c r="M706" s="132"/>
    </row>
    <row r="707" spans="12:13" x14ac:dyDescent="0.2">
      <c r="L707" s="129"/>
      <c r="M707" s="132"/>
    </row>
    <row r="708" spans="12:13" x14ac:dyDescent="0.2">
      <c r="L708" s="129"/>
      <c r="M708" s="132"/>
    </row>
    <row r="709" spans="12:13" x14ac:dyDescent="0.2">
      <c r="L709" s="129"/>
      <c r="M709" s="132"/>
    </row>
    <row r="710" spans="12:13" x14ac:dyDescent="0.2">
      <c r="L710" s="129"/>
      <c r="M710" s="132"/>
    </row>
    <row r="711" spans="12:13" x14ac:dyDescent="0.2">
      <c r="L711" s="129"/>
      <c r="M711" s="132"/>
    </row>
    <row r="712" spans="12:13" x14ac:dyDescent="0.2">
      <c r="L712" s="129"/>
      <c r="M712" s="132"/>
    </row>
    <row r="713" spans="12:13" x14ac:dyDescent="0.2">
      <c r="L713" s="129"/>
      <c r="M713" s="132"/>
    </row>
    <row r="714" spans="12:13" x14ac:dyDescent="0.2">
      <c r="L714" s="129"/>
      <c r="M714" s="132"/>
    </row>
    <row r="715" spans="12:13" x14ac:dyDescent="0.2">
      <c r="L715" s="129"/>
      <c r="M715" s="132"/>
    </row>
    <row r="716" spans="12:13" x14ac:dyDescent="0.2">
      <c r="L716" s="129"/>
      <c r="M716" s="132"/>
    </row>
    <row r="717" spans="12:13" x14ac:dyDescent="0.2">
      <c r="L717" s="129"/>
      <c r="M717" s="132"/>
    </row>
    <row r="718" spans="12:13" x14ac:dyDescent="0.2">
      <c r="L718" s="129"/>
      <c r="M718" s="132"/>
    </row>
    <row r="719" spans="12:13" x14ac:dyDescent="0.2">
      <c r="L719" s="129"/>
      <c r="M719" s="132"/>
    </row>
    <row r="720" spans="12:13" x14ac:dyDescent="0.2">
      <c r="L720" s="129"/>
      <c r="M720" s="132"/>
    </row>
    <row r="721" spans="12:13" x14ac:dyDescent="0.2">
      <c r="L721" s="129"/>
      <c r="M721" s="132"/>
    </row>
    <row r="722" spans="12:13" x14ac:dyDescent="0.2">
      <c r="L722" s="129"/>
      <c r="M722" s="132"/>
    </row>
    <row r="723" spans="12:13" x14ac:dyDescent="0.2">
      <c r="L723" s="129"/>
      <c r="M723" s="132"/>
    </row>
    <row r="724" spans="12:13" x14ac:dyDescent="0.2">
      <c r="L724" s="129"/>
      <c r="M724" s="132"/>
    </row>
    <row r="725" spans="12:13" x14ac:dyDescent="0.2">
      <c r="L725" s="129"/>
      <c r="M725" s="132"/>
    </row>
    <row r="726" spans="12:13" x14ac:dyDescent="0.2">
      <c r="L726" s="129"/>
      <c r="M726" s="132"/>
    </row>
    <row r="727" spans="12:13" x14ac:dyDescent="0.2">
      <c r="L727" s="129"/>
      <c r="M727" s="132"/>
    </row>
    <row r="728" spans="12:13" x14ac:dyDescent="0.2">
      <c r="L728" s="129"/>
      <c r="M728" s="132"/>
    </row>
    <row r="729" spans="12:13" x14ac:dyDescent="0.2">
      <c r="L729" s="129"/>
      <c r="M729" s="132"/>
    </row>
    <row r="730" spans="12:13" x14ac:dyDescent="0.2">
      <c r="L730" s="129"/>
      <c r="M730" s="132"/>
    </row>
    <row r="731" spans="12:13" x14ac:dyDescent="0.2">
      <c r="L731" s="129"/>
      <c r="M731" s="132"/>
    </row>
    <row r="732" spans="12:13" x14ac:dyDescent="0.2">
      <c r="L732" s="129"/>
      <c r="M732" s="132"/>
    </row>
    <row r="733" spans="12:13" x14ac:dyDescent="0.2">
      <c r="L733" s="129"/>
      <c r="M733" s="132"/>
    </row>
    <row r="734" spans="12:13" x14ac:dyDescent="0.2">
      <c r="L734" s="129"/>
      <c r="M734" s="132"/>
    </row>
    <row r="735" spans="12:13" x14ac:dyDescent="0.2">
      <c r="L735" s="129"/>
      <c r="M735" s="132"/>
    </row>
    <row r="736" spans="12:13" x14ac:dyDescent="0.2">
      <c r="L736" s="129"/>
      <c r="M736" s="132"/>
    </row>
    <row r="737" spans="12:13" x14ac:dyDescent="0.2">
      <c r="L737" s="129"/>
      <c r="M737" s="132"/>
    </row>
    <row r="738" spans="12:13" x14ac:dyDescent="0.2">
      <c r="L738" s="129"/>
      <c r="M738" s="132"/>
    </row>
    <row r="739" spans="12:13" x14ac:dyDescent="0.2">
      <c r="L739" s="129"/>
      <c r="M739" s="132"/>
    </row>
    <row r="740" spans="12:13" x14ac:dyDescent="0.2">
      <c r="L740" s="129"/>
      <c r="M740" s="132"/>
    </row>
    <row r="741" spans="12:13" x14ac:dyDescent="0.2">
      <c r="L741" s="129"/>
      <c r="M741" s="132"/>
    </row>
    <row r="742" spans="12:13" x14ac:dyDescent="0.2">
      <c r="L742" s="129"/>
      <c r="M742" s="132"/>
    </row>
    <row r="743" spans="12:13" x14ac:dyDescent="0.2">
      <c r="L743" s="129"/>
      <c r="M743" s="132"/>
    </row>
    <row r="744" spans="12:13" x14ac:dyDescent="0.2">
      <c r="L744" s="129"/>
      <c r="M744" s="132"/>
    </row>
    <row r="745" spans="12:13" x14ac:dyDescent="0.2">
      <c r="L745" s="129"/>
      <c r="M745" s="132"/>
    </row>
    <row r="746" spans="12:13" x14ac:dyDescent="0.2">
      <c r="L746" s="129"/>
      <c r="M746" s="132"/>
    </row>
    <row r="747" spans="12:13" x14ac:dyDescent="0.2">
      <c r="L747" s="129"/>
      <c r="M747" s="132"/>
    </row>
    <row r="748" spans="12:13" x14ac:dyDescent="0.2">
      <c r="L748" s="129"/>
      <c r="M748" s="132"/>
    </row>
    <row r="749" spans="12:13" x14ac:dyDescent="0.2">
      <c r="L749" s="129"/>
      <c r="M749" s="132"/>
    </row>
    <row r="750" spans="12:13" x14ac:dyDescent="0.2">
      <c r="L750" s="129"/>
      <c r="M750" s="132"/>
    </row>
    <row r="751" spans="12:13" x14ac:dyDescent="0.2">
      <c r="L751" s="129"/>
      <c r="M751" s="132"/>
    </row>
    <row r="752" spans="12:13" x14ac:dyDescent="0.2">
      <c r="L752" s="129"/>
      <c r="M752" s="132"/>
    </row>
    <row r="753" spans="12:13" x14ac:dyDescent="0.2">
      <c r="L753" s="129"/>
      <c r="M753" s="132"/>
    </row>
    <row r="754" spans="12:13" x14ac:dyDescent="0.2">
      <c r="L754" s="129"/>
      <c r="M754" s="132"/>
    </row>
    <row r="755" spans="12:13" x14ac:dyDescent="0.2">
      <c r="L755" s="129"/>
      <c r="M755" s="132"/>
    </row>
    <row r="756" spans="12:13" x14ac:dyDescent="0.2">
      <c r="L756" s="129"/>
      <c r="M756" s="132"/>
    </row>
    <row r="757" spans="12:13" x14ac:dyDescent="0.2">
      <c r="L757" s="129"/>
      <c r="M757" s="132"/>
    </row>
    <row r="758" spans="12:13" x14ac:dyDescent="0.2">
      <c r="L758" s="129"/>
      <c r="M758" s="132"/>
    </row>
    <row r="759" spans="12:13" x14ac:dyDescent="0.2">
      <c r="L759" s="129"/>
      <c r="M759" s="132"/>
    </row>
    <row r="760" spans="12:13" x14ac:dyDescent="0.2">
      <c r="L760" s="129"/>
      <c r="M760" s="132"/>
    </row>
    <row r="761" spans="12:13" x14ac:dyDescent="0.2">
      <c r="L761" s="129"/>
      <c r="M761" s="132"/>
    </row>
    <row r="762" spans="12:13" x14ac:dyDescent="0.2">
      <c r="L762" s="129"/>
      <c r="M762" s="132"/>
    </row>
    <row r="763" spans="12:13" x14ac:dyDescent="0.2">
      <c r="L763" s="129"/>
      <c r="M763" s="132"/>
    </row>
    <row r="764" spans="12:13" x14ac:dyDescent="0.2">
      <c r="L764" s="129"/>
      <c r="M764" s="132"/>
    </row>
    <row r="765" spans="12:13" x14ac:dyDescent="0.2">
      <c r="L765" s="129"/>
      <c r="M765" s="132"/>
    </row>
    <row r="766" spans="12:13" x14ac:dyDescent="0.2">
      <c r="L766" s="129"/>
      <c r="M766" s="132"/>
    </row>
    <row r="767" spans="12:13" x14ac:dyDescent="0.2">
      <c r="L767" s="129"/>
      <c r="M767" s="132"/>
    </row>
    <row r="768" spans="12:13" x14ac:dyDescent="0.2">
      <c r="L768" s="129"/>
      <c r="M768" s="132"/>
    </row>
    <row r="769" spans="12:13" x14ac:dyDescent="0.2">
      <c r="L769" s="129"/>
      <c r="M769" s="132"/>
    </row>
    <row r="770" spans="12:13" x14ac:dyDescent="0.2">
      <c r="L770" s="129"/>
      <c r="M770" s="132"/>
    </row>
    <row r="771" spans="12:13" x14ac:dyDescent="0.2">
      <c r="L771" s="129"/>
      <c r="M771" s="132"/>
    </row>
    <row r="772" spans="12:13" x14ac:dyDescent="0.2">
      <c r="L772" s="129"/>
      <c r="M772" s="132"/>
    </row>
    <row r="773" spans="12:13" x14ac:dyDescent="0.2">
      <c r="L773" s="129"/>
      <c r="M773" s="132"/>
    </row>
    <row r="774" spans="12:13" x14ac:dyDescent="0.2">
      <c r="L774" s="129"/>
      <c r="M774" s="132"/>
    </row>
    <row r="775" spans="12:13" x14ac:dyDescent="0.2">
      <c r="L775" s="129"/>
      <c r="M775" s="132"/>
    </row>
    <row r="776" spans="12:13" x14ac:dyDescent="0.2">
      <c r="L776" s="129"/>
      <c r="M776" s="132"/>
    </row>
    <row r="777" spans="12:13" x14ac:dyDescent="0.2">
      <c r="L777" s="129"/>
      <c r="M777" s="132"/>
    </row>
    <row r="778" spans="12:13" x14ac:dyDescent="0.2">
      <c r="L778" s="129"/>
      <c r="M778" s="132"/>
    </row>
    <row r="779" spans="12:13" x14ac:dyDescent="0.2">
      <c r="L779" s="129"/>
      <c r="M779" s="132"/>
    </row>
    <row r="780" spans="12:13" x14ac:dyDescent="0.2">
      <c r="L780" s="129"/>
      <c r="M780" s="132"/>
    </row>
    <row r="781" spans="12:13" x14ac:dyDescent="0.2">
      <c r="L781" s="129"/>
      <c r="M781" s="132"/>
    </row>
    <row r="782" spans="12:13" x14ac:dyDescent="0.2">
      <c r="L782" s="129"/>
      <c r="M782" s="132"/>
    </row>
    <row r="783" spans="12:13" x14ac:dyDescent="0.2">
      <c r="L783" s="129"/>
      <c r="M783" s="132"/>
    </row>
    <row r="784" spans="12:13" x14ac:dyDescent="0.2">
      <c r="L784" s="129"/>
      <c r="M784" s="132"/>
    </row>
    <row r="785" spans="12:13" x14ac:dyDescent="0.2">
      <c r="L785" s="129"/>
      <c r="M785" s="132"/>
    </row>
    <row r="786" spans="12:13" x14ac:dyDescent="0.2">
      <c r="L786" s="129"/>
      <c r="M786" s="132"/>
    </row>
    <row r="787" spans="12:13" x14ac:dyDescent="0.2">
      <c r="L787" s="129"/>
      <c r="M787" s="132"/>
    </row>
    <row r="788" spans="12:13" x14ac:dyDescent="0.2">
      <c r="L788" s="129"/>
      <c r="M788" s="132"/>
    </row>
    <row r="789" spans="12:13" x14ac:dyDescent="0.2">
      <c r="L789" s="129"/>
      <c r="M789" s="132"/>
    </row>
    <row r="790" spans="12:13" x14ac:dyDescent="0.2">
      <c r="L790" s="129"/>
      <c r="M790" s="132"/>
    </row>
    <row r="791" spans="12:13" x14ac:dyDescent="0.2">
      <c r="L791" s="129"/>
      <c r="M791" s="132"/>
    </row>
    <row r="792" spans="12:13" x14ac:dyDescent="0.2">
      <c r="L792" s="129"/>
      <c r="M792" s="132"/>
    </row>
    <row r="793" spans="12:13" x14ac:dyDescent="0.2">
      <c r="L793" s="129"/>
      <c r="M793" s="132"/>
    </row>
    <row r="794" spans="12:13" x14ac:dyDescent="0.2">
      <c r="L794" s="129"/>
      <c r="M794" s="132"/>
    </row>
    <row r="795" spans="12:13" x14ac:dyDescent="0.2">
      <c r="L795" s="129"/>
      <c r="M795" s="132"/>
    </row>
    <row r="796" spans="12:13" x14ac:dyDescent="0.2">
      <c r="L796" s="129"/>
      <c r="M796" s="132"/>
    </row>
    <row r="797" spans="12:13" x14ac:dyDescent="0.2">
      <c r="L797" s="129"/>
      <c r="M797" s="132"/>
    </row>
    <row r="798" spans="12:13" x14ac:dyDescent="0.2">
      <c r="L798" s="129"/>
      <c r="M798" s="132"/>
    </row>
    <row r="799" spans="12:13" x14ac:dyDescent="0.2">
      <c r="L799" s="129"/>
      <c r="M799" s="132"/>
    </row>
    <row r="800" spans="12:13" x14ac:dyDescent="0.2">
      <c r="L800" s="129"/>
      <c r="M800" s="132"/>
    </row>
    <row r="801" spans="12:13" x14ac:dyDescent="0.2">
      <c r="L801" s="129"/>
      <c r="M801" s="132"/>
    </row>
    <row r="802" spans="12:13" x14ac:dyDescent="0.2">
      <c r="L802" s="129"/>
      <c r="M802" s="132"/>
    </row>
    <row r="803" spans="12:13" x14ac:dyDescent="0.2">
      <c r="L803" s="129"/>
      <c r="M803" s="132"/>
    </row>
    <row r="804" spans="12:13" x14ac:dyDescent="0.2">
      <c r="L804" s="129"/>
      <c r="M804" s="132"/>
    </row>
    <row r="805" spans="12:13" x14ac:dyDescent="0.2">
      <c r="L805" s="129"/>
      <c r="M805" s="132"/>
    </row>
    <row r="806" spans="12:13" x14ac:dyDescent="0.2">
      <c r="L806" s="129"/>
      <c r="M806" s="132"/>
    </row>
    <row r="807" spans="12:13" x14ac:dyDescent="0.2">
      <c r="L807" s="129"/>
      <c r="M807" s="132"/>
    </row>
    <row r="808" spans="12:13" x14ac:dyDescent="0.2">
      <c r="L808" s="129"/>
      <c r="M808" s="132"/>
    </row>
    <row r="809" spans="12:13" x14ac:dyDescent="0.2">
      <c r="L809" s="129"/>
      <c r="M809" s="132"/>
    </row>
    <row r="810" spans="12:13" x14ac:dyDescent="0.2">
      <c r="L810" s="129"/>
      <c r="M810" s="132"/>
    </row>
    <row r="811" spans="12:13" x14ac:dyDescent="0.2">
      <c r="L811" s="129"/>
      <c r="M811" s="132"/>
    </row>
    <row r="812" spans="12:13" x14ac:dyDescent="0.2">
      <c r="L812" s="129"/>
      <c r="M812" s="132"/>
    </row>
    <row r="813" spans="12:13" x14ac:dyDescent="0.2">
      <c r="L813" s="129"/>
      <c r="M813" s="132"/>
    </row>
    <row r="814" spans="12:13" x14ac:dyDescent="0.2">
      <c r="L814" s="129"/>
      <c r="M814" s="132"/>
    </row>
    <row r="815" spans="12:13" x14ac:dyDescent="0.2">
      <c r="L815" s="129"/>
      <c r="M815" s="132"/>
    </row>
    <row r="816" spans="12:13" x14ac:dyDescent="0.2">
      <c r="L816" s="129"/>
      <c r="M816" s="132"/>
    </row>
    <row r="817" spans="12:13" x14ac:dyDescent="0.2">
      <c r="L817" s="129"/>
      <c r="M817" s="132"/>
    </row>
    <row r="818" spans="12:13" x14ac:dyDescent="0.2">
      <c r="L818" s="129"/>
      <c r="M818" s="132"/>
    </row>
    <row r="819" spans="12:13" x14ac:dyDescent="0.2">
      <c r="L819" s="129"/>
      <c r="M819" s="132"/>
    </row>
    <row r="820" spans="12:13" x14ac:dyDescent="0.2">
      <c r="L820" s="129"/>
      <c r="M820" s="132"/>
    </row>
    <row r="821" spans="12:13" x14ac:dyDescent="0.2">
      <c r="L821" s="129"/>
      <c r="M821" s="132"/>
    </row>
    <row r="822" spans="12:13" x14ac:dyDescent="0.2">
      <c r="L822" s="129"/>
      <c r="M822" s="132"/>
    </row>
    <row r="823" spans="12:13" x14ac:dyDescent="0.2">
      <c r="L823" s="129"/>
      <c r="M823" s="132"/>
    </row>
    <row r="824" spans="12:13" x14ac:dyDescent="0.2">
      <c r="L824" s="129"/>
      <c r="M824" s="132"/>
    </row>
    <row r="825" spans="12:13" x14ac:dyDescent="0.2">
      <c r="L825" s="129"/>
      <c r="M825" s="132"/>
    </row>
    <row r="826" spans="12:13" x14ac:dyDescent="0.2">
      <c r="L826" s="129"/>
      <c r="M826" s="132"/>
    </row>
    <row r="827" spans="12:13" x14ac:dyDescent="0.2">
      <c r="L827" s="129"/>
      <c r="M827" s="132"/>
    </row>
    <row r="828" spans="12:13" x14ac:dyDescent="0.2">
      <c r="L828" s="129"/>
      <c r="M828" s="132"/>
    </row>
    <row r="829" spans="12:13" x14ac:dyDescent="0.2">
      <c r="L829" s="129"/>
      <c r="M829" s="132"/>
    </row>
    <row r="830" spans="12:13" x14ac:dyDescent="0.2">
      <c r="L830" s="129"/>
      <c r="M830" s="132"/>
    </row>
    <row r="831" spans="12:13" x14ac:dyDescent="0.2">
      <c r="L831" s="129"/>
      <c r="M831" s="132"/>
    </row>
    <row r="832" spans="12:13" x14ac:dyDescent="0.2">
      <c r="L832" s="129"/>
      <c r="M832" s="132"/>
    </row>
    <row r="833" spans="12:13" x14ac:dyDescent="0.2">
      <c r="L833" s="129"/>
      <c r="M833" s="132"/>
    </row>
    <row r="834" spans="12:13" x14ac:dyDescent="0.2">
      <c r="L834" s="129"/>
      <c r="M834" s="132"/>
    </row>
    <row r="835" spans="12:13" x14ac:dyDescent="0.2">
      <c r="L835" s="129"/>
      <c r="M835" s="132"/>
    </row>
    <row r="836" spans="12:13" x14ac:dyDescent="0.2">
      <c r="L836" s="129"/>
      <c r="M836" s="132"/>
    </row>
    <row r="837" spans="12:13" x14ac:dyDescent="0.2">
      <c r="L837" s="129"/>
      <c r="M837" s="132"/>
    </row>
    <row r="838" spans="12:13" x14ac:dyDescent="0.2">
      <c r="L838" s="129"/>
      <c r="M838" s="132"/>
    </row>
    <row r="839" spans="12:13" x14ac:dyDescent="0.2">
      <c r="L839" s="129"/>
      <c r="M839" s="132"/>
    </row>
    <row r="840" spans="12:13" x14ac:dyDescent="0.2">
      <c r="L840" s="129"/>
      <c r="M840" s="132"/>
    </row>
    <row r="841" spans="12:13" x14ac:dyDescent="0.2">
      <c r="L841" s="129"/>
      <c r="M841" s="132"/>
    </row>
    <row r="842" spans="12:13" x14ac:dyDescent="0.2">
      <c r="L842" s="129"/>
      <c r="M842" s="132"/>
    </row>
    <row r="843" spans="12:13" x14ac:dyDescent="0.2">
      <c r="L843" s="129"/>
      <c r="M843" s="132"/>
    </row>
    <row r="844" spans="12:13" x14ac:dyDescent="0.2">
      <c r="L844" s="129"/>
      <c r="M844" s="132"/>
    </row>
    <row r="845" spans="12:13" x14ac:dyDescent="0.2">
      <c r="L845" s="129"/>
      <c r="M845" s="132"/>
    </row>
    <row r="846" spans="12:13" x14ac:dyDescent="0.2">
      <c r="L846" s="129"/>
      <c r="M846" s="132"/>
    </row>
    <row r="847" spans="12:13" x14ac:dyDescent="0.2">
      <c r="L847" s="129"/>
      <c r="M847" s="132"/>
    </row>
    <row r="848" spans="12:13" x14ac:dyDescent="0.2">
      <c r="L848" s="129"/>
      <c r="M848" s="132"/>
    </row>
    <row r="849" spans="12:13" x14ac:dyDescent="0.2">
      <c r="L849" s="129"/>
      <c r="M849" s="132"/>
    </row>
    <row r="850" spans="12:13" x14ac:dyDescent="0.2">
      <c r="L850" s="129"/>
      <c r="M850" s="132"/>
    </row>
    <row r="851" spans="12:13" x14ac:dyDescent="0.2">
      <c r="L851" s="129"/>
      <c r="M851" s="132"/>
    </row>
    <row r="852" spans="12:13" x14ac:dyDescent="0.2">
      <c r="L852" s="129"/>
      <c r="M852" s="132"/>
    </row>
    <row r="853" spans="12:13" x14ac:dyDescent="0.2">
      <c r="L853" s="129"/>
      <c r="M853" s="132"/>
    </row>
    <row r="854" spans="12:13" x14ac:dyDescent="0.2">
      <c r="L854" s="129"/>
      <c r="M854" s="132"/>
    </row>
    <row r="855" spans="12:13" x14ac:dyDescent="0.2">
      <c r="L855" s="129"/>
      <c r="M855" s="132"/>
    </row>
    <row r="856" spans="12:13" x14ac:dyDescent="0.2">
      <c r="L856" s="129"/>
      <c r="M856" s="132"/>
    </row>
    <row r="857" spans="12:13" x14ac:dyDescent="0.2">
      <c r="L857" s="129"/>
      <c r="M857" s="132"/>
    </row>
    <row r="858" spans="12:13" x14ac:dyDescent="0.2">
      <c r="L858" s="129"/>
      <c r="M858" s="132"/>
    </row>
    <row r="859" spans="12:13" x14ac:dyDescent="0.2">
      <c r="L859" s="129"/>
      <c r="M859" s="132"/>
    </row>
    <row r="860" spans="12:13" x14ac:dyDescent="0.2">
      <c r="L860" s="129"/>
      <c r="M860" s="132"/>
    </row>
    <row r="861" spans="12:13" x14ac:dyDescent="0.2">
      <c r="L861" s="129"/>
      <c r="M861" s="132"/>
    </row>
    <row r="862" spans="12:13" x14ac:dyDescent="0.2">
      <c r="L862" s="129"/>
      <c r="M862" s="132"/>
    </row>
    <row r="863" spans="12:13" x14ac:dyDescent="0.2">
      <c r="L863" s="129"/>
      <c r="M863" s="132"/>
    </row>
    <row r="864" spans="12:13" x14ac:dyDescent="0.2">
      <c r="L864" s="129"/>
      <c r="M864" s="132"/>
    </row>
    <row r="865" spans="12:13" x14ac:dyDescent="0.2">
      <c r="L865" s="129"/>
      <c r="M865" s="132"/>
    </row>
    <row r="866" spans="12:13" x14ac:dyDescent="0.2">
      <c r="L866" s="129"/>
      <c r="M866" s="132"/>
    </row>
    <row r="867" spans="12:13" x14ac:dyDescent="0.2">
      <c r="L867" s="129"/>
      <c r="M867" s="132"/>
    </row>
    <row r="868" spans="12:13" x14ac:dyDescent="0.2">
      <c r="L868" s="129"/>
      <c r="M868" s="132"/>
    </row>
    <row r="869" spans="12:13" x14ac:dyDescent="0.2">
      <c r="L869" s="129"/>
      <c r="M869" s="132"/>
    </row>
    <row r="870" spans="12:13" x14ac:dyDescent="0.2">
      <c r="L870" s="129"/>
      <c r="M870" s="132"/>
    </row>
    <row r="871" spans="12:13" x14ac:dyDescent="0.2">
      <c r="L871" s="129"/>
      <c r="M871" s="132"/>
    </row>
    <row r="872" spans="12:13" x14ac:dyDescent="0.2">
      <c r="L872" s="129"/>
      <c r="M872" s="132"/>
    </row>
    <row r="873" spans="12:13" x14ac:dyDescent="0.2">
      <c r="L873" s="129"/>
      <c r="M873" s="132"/>
    </row>
    <row r="874" spans="12:13" x14ac:dyDescent="0.2">
      <c r="L874" s="129"/>
      <c r="M874" s="132"/>
    </row>
    <row r="875" spans="12:13" x14ac:dyDescent="0.2">
      <c r="L875" s="129"/>
      <c r="M875" s="132"/>
    </row>
    <row r="876" spans="12:13" x14ac:dyDescent="0.2">
      <c r="L876" s="129"/>
      <c r="M876" s="132"/>
    </row>
    <row r="877" spans="12:13" x14ac:dyDescent="0.2">
      <c r="L877" s="129"/>
      <c r="M877" s="132"/>
    </row>
    <row r="878" spans="12:13" x14ac:dyDescent="0.2">
      <c r="L878" s="129"/>
      <c r="M878" s="132"/>
    </row>
    <row r="879" spans="12:13" x14ac:dyDescent="0.2">
      <c r="L879" s="129"/>
      <c r="M879" s="132"/>
    </row>
    <row r="880" spans="12:13" x14ac:dyDescent="0.2">
      <c r="L880" s="129"/>
      <c r="M880" s="132"/>
    </row>
    <row r="881" spans="12:13" x14ac:dyDescent="0.2">
      <c r="L881" s="129"/>
      <c r="M881" s="132"/>
    </row>
    <row r="882" spans="12:13" x14ac:dyDescent="0.2">
      <c r="L882" s="129"/>
      <c r="M882" s="132"/>
    </row>
    <row r="883" spans="12:13" x14ac:dyDescent="0.2">
      <c r="L883" s="129"/>
      <c r="M883" s="132"/>
    </row>
    <row r="884" spans="12:13" x14ac:dyDescent="0.2">
      <c r="L884" s="129"/>
      <c r="M884" s="132"/>
    </row>
    <row r="885" spans="12:13" x14ac:dyDescent="0.2">
      <c r="L885" s="129"/>
      <c r="M885" s="132"/>
    </row>
    <row r="886" spans="12:13" x14ac:dyDescent="0.2">
      <c r="L886" s="129"/>
      <c r="M886" s="132"/>
    </row>
    <row r="887" spans="12:13" x14ac:dyDescent="0.2">
      <c r="L887" s="129"/>
      <c r="M887" s="132"/>
    </row>
    <row r="888" spans="12:13" x14ac:dyDescent="0.2">
      <c r="L888" s="129"/>
      <c r="M888" s="132"/>
    </row>
    <row r="889" spans="12:13" x14ac:dyDescent="0.2">
      <c r="L889" s="129"/>
      <c r="M889" s="132"/>
    </row>
    <row r="890" spans="12:13" x14ac:dyDescent="0.2">
      <c r="L890" s="129"/>
      <c r="M890" s="132"/>
    </row>
    <row r="891" spans="12:13" x14ac:dyDescent="0.2">
      <c r="L891" s="129"/>
      <c r="M891" s="132"/>
    </row>
    <row r="892" spans="12:13" x14ac:dyDescent="0.2">
      <c r="L892" s="129"/>
      <c r="M892" s="132"/>
    </row>
    <row r="893" spans="12:13" x14ac:dyDescent="0.2">
      <c r="L893" s="129"/>
      <c r="M893" s="132"/>
    </row>
    <row r="894" spans="12:13" x14ac:dyDescent="0.2">
      <c r="L894" s="129"/>
      <c r="M894" s="132"/>
    </row>
    <row r="895" spans="12:13" x14ac:dyDescent="0.2">
      <c r="L895" s="129"/>
      <c r="M895" s="132"/>
    </row>
    <row r="896" spans="12:13" x14ac:dyDescent="0.2">
      <c r="L896" s="129"/>
      <c r="M896" s="132"/>
    </row>
    <row r="897" spans="12:13" x14ac:dyDescent="0.2">
      <c r="L897" s="129"/>
      <c r="M897" s="132"/>
    </row>
    <row r="898" spans="12:13" x14ac:dyDescent="0.2">
      <c r="L898" s="129"/>
      <c r="M898" s="132"/>
    </row>
    <row r="899" spans="12:13" x14ac:dyDescent="0.2">
      <c r="L899" s="129"/>
      <c r="M899" s="132"/>
    </row>
    <row r="900" spans="12:13" x14ac:dyDescent="0.2">
      <c r="L900" s="129"/>
      <c r="M900" s="132"/>
    </row>
    <row r="901" spans="12:13" x14ac:dyDescent="0.2">
      <c r="L901" s="129"/>
      <c r="M901" s="132"/>
    </row>
    <row r="902" spans="12:13" x14ac:dyDescent="0.2">
      <c r="L902" s="129"/>
      <c r="M902" s="132"/>
    </row>
    <row r="903" spans="12:13" x14ac:dyDescent="0.2">
      <c r="L903" s="129"/>
      <c r="M903" s="132"/>
    </row>
    <row r="904" spans="12:13" x14ac:dyDescent="0.2">
      <c r="L904" s="129"/>
      <c r="M904" s="132"/>
    </row>
    <row r="905" spans="12:13" x14ac:dyDescent="0.2">
      <c r="L905" s="129"/>
      <c r="M905" s="132"/>
    </row>
    <row r="906" spans="12:13" x14ac:dyDescent="0.2">
      <c r="L906" s="129"/>
      <c r="M906" s="132"/>
    </row>
    <row r="907" spans="12:13" x14ac:dyDescent="0.2">
      <c r="L907" s="129"/>
      <c r="M907" s="132"/>
    </row>
    <row r="908" spans="12:13" x14ac:dyDescent="0.2">
      <c r="L908" s="129"/>
      <c r="M908" s="132"/>
    </row>
    <row r="909" spans="12:13" x14ac:dyDescent="0.2">
      <c r="L909" s="129"/>
      <c r="M909" s="132"/>
    </row>
    <row r="910" spans="12:13" x14ac:dyDescent="0.2">
      <c r="L910" s="129"/>
      <c r="M910" s="132"/>
    </row>
    <row r="911" spans="12:13" x14ac:dyDescent="0.2">
      <c r="L911" s="129"/>
      <c r="M911" s="132"/>
    </row>
    <row r="912" spans="12:13" x14ac:dyDescent="0.2">
      <c r="L912" s="129"/>
      <c r="M912" s="132"/>
    </row>
    <row r="913" spans="12:13" x14ac:dyDescent="0.2">
      <c r="L913" s="129"/>
      <c r="M913" s="132"/>
    </row>
    <row r="914" spans="12:13" x14ac:dyDescent="0.2">
      <c r="L914" s="129"/>
      <c r="M914" s="132"/>
    </row>
    <row r="915" spans="12:13" x14ac:dyDescent="0.2">
      <c r="L915" s="129"/>
      <c r="M915" s="132"/>
    </row>
    <row r="916" spans="12:13" x14ac:dyDescent="0.2">
      <c r="L916" s="129"/>
      <c r="M916" s="132"/>
    </row>
    <row r="917" spans="12:13" x14ac:dyDescent="0.2">
      <c r="L917" s="129"/>
      <c r="M917" s="132"/>
    </row>
    <row r="918" spans="12:13" x14ac:dyDescent="0.2">
      <c r="L918" s="129"/>
      <c r="M918" s="132"/>
    </row>
    <row r="919" spans="12:13" x14ac:dyDescent="0.2">
      <c r="L919" s="129"/>
      <c r="M919" s="132"/>
    </row>
    <row r="920" spans="12:13" x14ac:dyDescent="0.2">
      <c r="L920" s="129"/>
      <c r="M920" s="132"/>
    </row>
    <row r="921" spans="12:13" x14ac:dyDescent="0.2">
      <c r="L921" s="129"/>
      <c r="M921" s="132"/>
    </row>
    <row r="922" spans="12:13" x14ac:dyDescent="0.2">
      <c r="L922" s="129"/>
      <c r="M922" s="132"/>
    </row>
    <row r="923" spans="12:13" x14ac:dyDescent="0.2">
      <c r="L923" s="129"/>
      <c r="M923" s="132"/>
    </row>
    <row r="924" spans="12:13" x14ac:dyDescent="0.2">
      <c r="L924" s="129"/>
      <c r="M924" s="132"/>
    </row>
    <row r="925" spans="12:13" x14ac:dyDescent="0.2">
      <c r="L925" s="129"/>
      <c r="M925" s="132"/>
    </row>
    <row r="926" spans="12:13" x14ac:dyDescent="0.2">
      <c r="L926" s="129"/>
      <c r="M926" s="132"/>
    </row>
    <row r="927" spans="12:13" x14ac:dyDescent="0.2">
      <c r="L927" s="129"/>
      <c r="M927" s="132"/>
    </row>
    <row r="928" spans="12:13" x14ac:dyDescent="0.2">
      <c r="L928" s="129"/>
      <c r="M928" s="132"/>
    </row>
    <row r="929" spans="12:13" x14ac:dyDescent="0.2">
      <c r="L929" s="129"/>
      <c r="M929" s="132"/>
    </row>
    <row r="930" spans="12:13" x14ac:dyDescent="0.2">
      <c r="L930" s="129"/>
      <c r="M930" s="132"/>
    </row>
    <row r="931" spans="12:13" x14ac:dyDescent="0.2">
      <c r="L931" s="129"/>
      <c r="M931" s="132"/>
    </row>
    <row r="932" spans="12:13" x14ac:dyDescent="0.2">
      <c r="L932" s="129"/>
      <c r="M932" s="132"/>
    </row>
    <row r="933" spans="12:13" x14ac:dyDescent="0.2">
      <c r="L933" s="129"/>
      <c r="M933" s="132"/>
    </row>
    <row r="934" spans="12:13" x14ac:dyDescent="0.2">
      <c r="L934" s="129"/>
      <c r="M934" s="132"/>
    </row>
    <row r="935" spans="12:13" x14ac:dyDescent="0.2">
      <c r="L935" s="129"/>
      <c r="M935" s="132"/>
    </row>
    <row r="936" spans="12:13" x14ac:dyDescent="0.2">
      <c r="L936" s="129"/>
      <c r="M936" s="132"/>
    </row>
    <row r="937" spans="12:13" x14ac:dyDescent="0.2">
      <c r="L937" s="129"/>
      <c r="M937" s="132"/>
    </row>
    <row r="938" spans="12:13" x14ac:dyDescent="0.2">
      <c r="L938" s="129"/>
      <c r="M938" s="132"/>
    </row>
    <row r="939" spans="12:13" x14ac:dyDescent="0.2">
      <c r="L939" s="129"/>
      <c r="M939" s="132"/>
    </row>
    <row r="940" spans="12:13" x14ac:dyDescent="0.2">
      <c r="L940" s="129"/>
      <c r="M940" s="132"/>
    </row>
    <row r="941" spans="12:13" x14ac:dyDescent="0.2">
      <c r="L941" s="129"/>
      <c r="M941" s="132"/>
    </row>
    <row r="942" spans="12:13" x14ac:dyDescent="0.2">
      <c r="L942" s="129"/>
      <c r="M942" s="132"/>
    </row>
    <row r="943" spans="12:13" x14ac:dyDescent="0.2">
      <c r="L943" s="129"/>
      <c r="M943" s="132"/>
    </row>
    <row r="944" spans="12:13" x14ac:dyDescent="0.2">
      <c r="L944" s="129"/>
      <c r="M944" s="132"/>
    </row>
    <row r="945" spans="12:13" x14ac:dyDescent="0.2">
      <c r="L945" s="129"/>
      <c r="M945" s="132"/>
    </row>
    <row r="946" spans="12:13" x14ac:dyDescent="0.2">
      <c r="L946" s="129"/>
      <c r="M946" s="132"/>
    </row>
    <row r="947" spans="12:13" x14ac:dyDescent="0.2">
      <c r="L947" s="129"/>
      <c r="M947" s="132"/>
    </row>
    <row r="948" spans="12:13" x14ac:dyDescent="0.2">
      <c r="L948" s="129"/>
      <c r="M948" s="132"/>
    </row>
    <row r="949" spans="12:13" x14ac:dyDescent="0.2">
      <c r="L949" s="129"/>
      <c r="M949" s="132"/>
    </row>
    <row r="950" spans="12:13" x14ac:dyDescent="0.2">
      <c r="L950" s="129"/>
      <c r="M950" s="132"/>
    </row>
    <row r="951" spans="12:13" x14ac:dyDescent="0.2">
      <c r="L951" s="129"/>
      <c r="M951" s="132"/>
    </row>
    <row r="952" spans="12:13" x14ac:dyDescent="0.2">
      <c r="L952" s="129"/>
      <c r="M952" s="132"/>
    </row>
    <row r="953" spans="12:13" x14ac:dyDescent="0.2">
      <c r="L953" s="129"/>
      <c r="M953" s="132"/>
    </row>
    <row r="954" spans="12:13" x14ac:dyDescent="0.2">
      <c r="L954" s="129"/>
      <c r="M954" s="132"/>
    </row>
    <row r="955" spans="12:13" x14ac:dyDescent="0.2">
      <c r="L955" s="129"/>
      <c r="M955" s="132"/>
    </row>
    <row r="956" spans="12:13" x14ac:dyDescent="0.2">
      <c r="L956" s="129"/>
      <c r="M956" s="132"/>
    </row>
    <row r="957" spans="12:13" x14ac:dyDescent="0.2">
      <c r="L957" s="129"/>
      <c r="M957" s="132"/>
    </row>
    <row r="958" spans="12:13" x14ac:dyDescent="0.2">
      <c r="L958" s="129"/>
      <c r="M958" s="132"/>
    </row>
    <row r="959" spans="12:13" x14ac:dyDescent="0.2">
      <c r="L959" s="129"/>
      <c r="M959" s="132"/>
    </row>
    <row r="960" spans="12:13" x14ac:dyDescent="0.2">
      <c r="L960" s="129"/>
      <c r="M960" s="132"/>
    </row>
    <row r="961" spans="12:13" x14ac:dyDescent="0.2">
      <c r="L961" s="129"/>
      <c r="M961" s="132"/>
    </row>
    <row r="962" spans="12:13" x14ac:dyDescent="0.2">
      <c r="L962" s="129"/>
      <c r="M962" s="132"/>
    </row>
    <row r="963" spans="12:13" x14ac:dyDescent="0.2">
      <c r="L963" s="129"/>
      <c r="M963" s="132"/>
    </row>
    <row r="964" spans="12:13" x14ac:dyDescent="0.2">
      <c r="L964" s="129"/>
      <c r="M964" s="132"/>
    </row>
    <row r="965" spans="12:13" x14ac:dyDescent="0.2">
      <c r="L965" s="129"/>
      <c r="M965" s="132"/>
    </row>
    <row r="966" spans="12:13" x14ac:dyDescent="0.2">
      <c r="L966" s="129"/>
      <c r="M966" s="132"/>
    </row>
    <row r="967" spans="12:13" x14ac:dyDescent="0.2">
      <c r="L967" s="129"/>
      <c r="M967" s="132"/>
    </row>
    <row r="968" spans="12:13" x14ac:dyDescent="0.2">
      <c r="L968" s="129"/>
      <c r="M968" s="132"/>
    </row>
    <row r="969" spans="12:13" x14ac:dyDescent="0.2">
      <c r="L969" s="129"/>
      <c r="M969" s="132"/>
    </row>
    <row r="970" spans="12:13" x14ac:dyDescent="0.2">
      <c r="L970" s="129"/>
      <c r="M970" s="132"/>
    </row>
    <row r="971" spans="12:13" x14ac:dyDescent="0.2">
      <c r="L971" s="129"/>
      <c r="M971" s="132"/>
    </row>
    <row r="972" spans="12:13" x14ac:dyDescent="0.2">
      <c r="L972" s="129"/>
      <c r="M972" s="132"/>
    </row>
    <row r="973" spans="12:13" x14ac:dyDescent="0.2">
      <c r="L973" s="129"/>
      <c r="M973" s="132"/>
    </row>
    <row r="974" spans="12:13" x14ac:dyDescent="0.2">
      <c r="L974" s="129"/>
      <c r="M974" s="132"/>
    </row>
    <row r="975" spans="12:13" x14ac:dyDescent="0.2">
      <c r="L975" s="129"/>
      <c r="M975" s="132"/>
    </row>
    <row r="976" spans="12:13" x14ac:dyDescent="0.2">
      <c r="L976" s="129"/>
      <c r="M976" s="132"/>
    </row>
    <row r="977" spans="12:13" x14ac:dyDescent="0.2">
      <c r="L977" s="129"/>
      <c r="M977" s="132"/>
    </row>
    <row r="978" spans="12:13" x14ac:dyDescent="0.2">
      <c r="L978" s="129"/>
      <c r="M978" s="132"/>
    </row>
    <row r="979" spans="12:13" x14ac:dyDescent="0.2">
      <c r="L979" s="129"/>
      <c r="M979" s="132"/>
    </row>
    <row r="980" spans="12:13" x14ac:dyDescent="0.2">
      <c r="L980" s="129"/>
      <c r="M980" s="132"/>
    </row>
    <row r="981" spans="12:13" x14ac:dyDescent="0.2">
      <c r="L981" s="129"/>
      <c r="M981" s="132"/>
    </row>
    <row r="982" spans="12:13" x14ac:dyDescent="0.2">
      <c r="L982" s="129"/>
      <c r="M982" s="132"/>
    </row>
    <row r="983" spans="12:13" x14ac:dyDescent="0.2">
      <c r="L983" s="129"/>
      <c r="M983" s="132"/>
    </row>
    <row r="984" spans="12:13" x14ac:dyDescent="0.2">
      <c r="L984" s="129"/>
      <c r="M984" s="132"/>
    </row>
    <row r="985" spans="12:13" x14ac:dyDescent="0.2">
      <c r="L985" s="129"/>
      <c r="M985" s="132"/>
    </row>
    <row r="986" spans="12:13" x14ac:dyDescent="0.2">
      <c r="L986" s="129"/>
      <c r="M986" s="132"/>
    </row>
    <row r="987" spans="12:13" x14ac:dyDescent="0.2">
      <c r="L987" s="129"/>
      <c r="M987" s="132"/>
    </row>
    <row r="988" spans="12:13" x14ac:dyDescent="0.2">
      <c r="L988" s="129"/>
      <c r="M988" s="132"/>
    </row>
    <row r="989" spans="12:13" x14ac:dyDescent="0.2">
      <c r="L989" s="129"/>
      <c r="M989" s="132"/>
    </row>
    <row r="990" spans="12:13" x14ac:dyDescent="0.2">
      <c r="L990" s="129"/>
      <c r="M990" s="132"/>
    </row>
    <row r="991" spans="12:13" x14ac:dyDescent="0.2">
      <c r="L991" s="129"/>
      <c r="M991" s="132"/>
    </row>
    <row r="992" spans="12:13" x14ac:dyDescent="0.2">
      <c r="L992" s="129"/>
      <c r="M992" s="132"/>
    </row>
    <row r="993" spans="12:13" x14ac:dyDescent="0.2">
      <c r="L993" s="129"/>
      <c r="M993" s="132"/>
    </row>
    <row r="994" spans="12:13" x14ac:dyDescent="0.2">
      <c r="L994" s="129"/>
      <c r="M994" s="132"/>
    </row>
    <row r="995" spans="12:13" x14ac:dyDescent="0.2">
      <c r="L995" s="129"/>
      <c r="M995" s="132"/>
    </row>
    <row r="996" spans="12:13" x14ac:dyDescent="0.2">
      <c r="L996" s="129"/>
      <c r="M996" s="132"/>
    </row>
    <row r="997" spans="12:13" x14ac:dyDescent="0.2">
      <c r="L997" s="129"/>
      <c r="M997" s="132"/>
    </row>
    <row r="998" spans="12:13" x14ac:dyDescent="0.2">
      <c r="L998" s="129"/>
      <c r="M998" s="132"/>
    </row>
    <row r="999" spans="12:13" x14ac:dyDescent="0.2">
      <c r="L999" s="129"/>
      <c r="M999" s="132"/>
    </row>
    <row r="1000" spans="12:13" x14ac:dyDescent="0.2">
      <c r="L1000" s="129"/>
      <c r="M1000" s="132"/>
    </row>
    <row r="1001" spans="12:13" x14ac:dyDescent="0.2">
      <c r="L1001" s="129"/>
      <c r="M1001" s="132"/>
    </row>
    <row r="1002" spans="12:13" x14ac:dyDescent="0.2">
      <c r="L1002" s="129"/>
      <c r="M1002" s="132"/>
    </row>
    <row r="1003" spans="12:13" x14ac:dyDescent="0.2">
      <c r="L1003" s="129"/>
      <c r="M1003" s="132"/>
    </row>
    <row r="1004" spans="12:13" x14ac:dyDescent="0.2">
      <c r="L1004" s="129"/>
      <c r="M1004" s="132"/>
    </row>
    <row r="1005" spans="12:13" x14ac:dyDescent="0.2">
      <c r="L1005" s="129"/>
      <c r="M1005" s="132"/>
    </row>
    <row r="1006" spans="12:13" x14ac:dyDescent="0.2">
      <c r="L1006" s="129"/>
      <c r="M1006" s="132"/>
    </row>
    <row r="1007" spans="12:13" x14ac:dyDescent="0.2">
      <c r="L1007" s="129"/>
      <c r="M1007" s="132"/>
    </row>
    <row r="1008" spans="12:13" x14ac:dyDescent="0.2">
      <c r="L1008" s="129"/>
      <c r="M1008" s="132"/>
    </row>
    <row r="1009" spans="12:13" x14ac:dyDescent="0.2">
      <c r="L1009" s="129"/>
      <c r="M1009" s="132"/>
    </row>
    <row r="1010" spans="12:13" x14ac:dyDescent="0.2">
      <c r="L1010" s="129"/>
      <c r="M1010" s="132"/>
    </row>
    <row r="1011" spans="12:13" x14ac:dyDescent="0.2">
      <c r="L1011" s="129"/>
      <c r="M1011" s="132"/>
    </row>
    <row r="1012" spans="12:13" x14ac:dyDescent="0.2">
      <c r="L1012" s="129"/>
      <c r="M1012" s="132"/>
    </row>
    <row r="1013" spans="12:13" x14ac:dyDescent="0.2">
      <c r="L1013" s="129"/>
      <c r="M1013" s="132"/>
    </row>
    <row r="1014" spans="12:13" x14ac:dyDescent="0.2">
      <c r="L1014" s="129"/>
      <c r="M1014" s="132"/>
    </row>
    <row r="1015" spans="12:13" x14ac:dyDescent="0.2">
      <c r="L1015" s="129"/>
      <c r="M1015" s="132"/>
    </row>
    <row r="1016" spans="12:13" x14ac:dyDescent="0.2">
      <c r="L1016" s="129"/>
      <c r="M1016" s="132"/>
    </row>
    <row r="1017" spans="12:13" x14ac:dyDescent="0.2">
      <c r="L1017" s="129"/>
      <c r="M1017" s="132"/>
    </row>
    <row r="1018" spans="12:13" x14ac:dyDescent="0.2">
      <c r="L1018" s="129"/>
      <c r="M1018" s="132"/>
    </row>
    <row r="1019" spans="12:13" x14ac:dyDescent="0.2">
      <c r="L1019" s="129"/>
      <c r="M1019" s="132"/>
    </row>
    <row r="1020" spans="12:13" x14ac:dyDescent="0.2">
      <c r="L1020" s="129"/>
      <c r="M1020" s="132"/>
    </row>
    <row r="1021" spans="12:13" x14ac:dyDescent="0.2">
      <c r="L1021" s="129"/>
      <c r="M1021" s="132"/>
    </row>
    <row r="1022" spans="12:13" x14ac:dyDescent="0.2">
      <c r="L1022" s="129"/>
      <c r="M1022" s="132"/>
    </row>
    <row r="1023" spans="12:13" x14ac:dyDescent="0.2">
      <c r="L1023" s="129"/>
      <c r="M1023" s="132"/>
    </row>
    <row r="1024" spans="12:13" x14ac:dyDescent="0.2">
      <c r="L1024" s="129"/>
      <c r="M1024" s="132"/>
    </row>
    <row r="1025" spans="12:13" x14ac:dyDescent="0.2">
      <c r="L1025" s="129"/>
      <c r="M1025" s="132"/>
    </row>
    <row r="1026" spans="12:13" x14ac:dyDescent="0.2">
      <c r="L1026" s="129"/>
      <c r="M1026" s="132"/>
    </row>
    <row r="1027" spans="12:13" x14ac:dyDescent="0.2">
      <c r="L1027" s="129"/>
      <c r="M1027" s="132"/>
    </row>
    <row r="1028" spans="12:13" x14ac:dyDescent="0.2">
      <c r="L1028" s="129"/>
      <c r="M1028" s="132"/>
    </row>
    <row r="1029" spans="12:13" x14ac:dyDescent="0.2">
      <c r="L1029" s="129"/>
      <c r="M1029" s="132"/>
    </row>
    <row r="1030" spans="12:13" x14ac:dyDescent="0.2">
      <c r="L1030" s="129"/>
      <c r="M1030" s="132"/>
    </row>
    <row r="1031" spans="12:13" x14ac:dyDescent="0.2">
      <c r="L1031" s="129"/>
      <c r="M1031" s="132"/>
    </row>
    <row r="1032" spans="12:13" x14ac:dyDescent="0.2">
      <c r="L1032" s="129"/>
      <c r="M1032" s="132"/>
    </row>
    <row r="1033" spans="12:13" x14ac:dyDescent="0.2">
      <c r="L1033" s="129"/>
      <c r="M1033" s="132"/>
    </row>
    <row r="1034" spans="12:13" x14ac:dyDescent="0.2">
      <c r="L1034" s="129"/>
      <c r="M1034" s="132"/>
    </row>
    <row r="1035" spans="12:13" x14ac:dyDescent="0.2">
      <c r="L1035" s="129"/>
      <c r="M1035" s="132"/>
    </row>
    <row r="1036" spans="12:13" x14ac:dyDescent="0.2">
      <c r="L1036" s="129"/>
      <c r="M1036" s="132"/>
    </row>
    <row r="1037" spans="12:13" x14ac:dyDescent="0.2">
      <c r="L1037" s="129"/>
      <c r="M1037" s="132"/>
    </row>
    <row r="1038" spans="12:13" x14ac:dyDescent="0.2">
      <c r="L1038" s="129"/>
      <c r="M1038" s="132"/>
    </row>
    <row r="1039" spans="12:13" x14ac:dyDescent="0.2">
      <c r="L1039" s="129"/>
      <c r="M1039" s="132"/>
    </row>
    <row r="1040" spans="12:13" x14ac:dyDescent="0.2">
      <c r="L1040" s="129"/>
      <c r="M1040" s="132"/>
    </row>
    <row r="1041" spans="12:13" x14ac:dyDescent="0.2">
      <c r="L1041" s="129"/>
      <c r="M1041" s="132"/>
    </row>
    <row r="1042" spans="12:13" x14ac:dyDescent="0.2">
      <c r="L1042" s="129"/>
      <c r="M1042" s="132"/>
    </row>
    <row r="1043" spans="12:13" x14ac:dyDescent="0.2">
      <c r="L1043" s="129"/>
      <c r="M1043" s="132"/>
    </row>
    <row r="1044" spans="12:13" x14ac:dyDescent="0.2">
      <c r="L1044" s="129"/>
      <c r="M1044" s="132"/>
    </row>
    <row r="1045" spans="12:13" x14ac:dyDescent="0.2">
      <c r="L1045" s="129"/>
      <c r="M1045" s="132"/>
    </row>
    <row r="1046" spans="12:13" x14ac:dyDescent="0.2">
      <c r="L1046" s="129"/>
      <c r="M1046" s="132"/>
    </row>
    <row r="1047" spans="12:13" x14ac:dyDescent="0.2">
      <c r="L1047" s="129"/>
      <c r="M1047" s="132"/>
    </row>
    <row r="1048" spans="12:13" x14ac:dyDescent="0.2">
      <c r="L1048" s="129"/>
      <c r="M1048" s="132"/>
    </row>
    <row r="1049" spans="12:13" x14ac:dyDescent="0.2">
      <c r="L1049" s="129"/>
      <c r="M1049" s="132"/>
    </row>
    <row r="1050" spans="12:13" x14ac:dyDescent="0.2">
      <c r="L1050" s="129"/>
      <c r="M1050" s="132"/>
    </row>
    <row r="1051" spans="12:13" x14ac:dyDescent="0.2">
      <c r="L1051" s="129"/>
      <c r="M1051" s="132"/>
    </row>
    <row r="1052" spans="12:13" x14ac:dyDescent="0.2">
      <c r="L1052" s="129"/>
      <c r="M1052" s="132"/>
    </row>
    <row r="1053" spans="12:13" x14ac:dyDescent="0.2">
      <c r="L1053" s="129"/>
      <c r="M1053" s="132"/>
    </row>
    <row r="1054" spans="12:13" x14ac:dyDescent="0.2">
      <c r="L1054" s="129"/>
      <c r="M1054" s="132"/>
    </row>
    <row r="1055" spans="12:13" x14ac:dyDescent="0.2">
      <c r="L1055" s="129"/>
      <c r="M1055" s="132"/>
    </row>
    <row r="1056" spans="12:13" x14ac:dyDescent="0.2">
      <c r="L1056" s="129"/>
      <c r="M1056" s="132"/>
    </row>
    <row r="1057" spans="12:13" x14ac:dyDescent="0.2">
      <c r="L1057" s="129"/>
      <c r="M1057" s="132"/>
    </row>
    <row r="1058" spans="12:13" x14ac:dyDescent="0.2">
      <c r="L1058" s="129"/>
      <c r="M1058" s="132"/>
    </row>
    <row r="1059" spans="12:13" x14ac:dyDescent="0.2">
      <c r="L1059" s="129"/>
      <c r="M1059" s="132"/>
    </row>
    <row r="1060" spans="12:13" x14ac:dyDescent="0.2">
      <c r="L1060" s="129"/>
      <c r="M1060" s="132"/>
    </row>
    <row r="1061" spans="12:13" x14ac:dyDescent="0.2">
      <c r="L1061" s="129"/>
      <c r="M1061" s="132"/>
    </row>
    <row r="1062" spans="12:13" x14ac:dyDescent="0.2">
      <c r="L1062" s="129"/>
      <c r="M1062" s="132"/>
    </row>
    <row r="1063" spans="12:13" x14ac:dyDescent="0.2">
      <c r="L1063" s="129"/>
      <c r="M1063" s="132"/>
    </row>
    <row r="1064" spans="12:13" x14ac:dyDescent="0.2">
      <c r="L1064" s="129"/>
      <c r="M1064" s="132"/>
    </row>
    <row r="1065" spans="12:13" x14ac:dyDescent="0.2">
      <c r="L1065" s="129"/>
      <c r="M1065" s="132"/>
    </row>
    <row r="1066" spans="12:13" x14ac:dyDescent="0.2">
      <c r="L1066" s="129"/>
      <c r="M1066" s="132"/>
    </row>
    <row r="1067" spans="12:13" x14ac:dyDescent="0.2">
      <c r="L1067" s="129"/>
      <c r="M1067" s="132"/>
    </row>
    <row r="1068" spans="12:13" x14ac:dyDescent="0.2">
      <c r="L1068" s="129"/>
      <c r="M1068" s="132"/>
    </row>
    <row r="1069" spans="12:13" x14ac:dyDescent="0.2">
      <c r="L1069" s="129"/>
      <c r="M1069" s="132"/>
    </row>
    <row r="1070" spans="12:13" x14ac:dyDescent="0.2">
      <c r="L1070" s="129"/>
      <c r="M1070" s="132"/>
    </row>
    <row r="1071" spans="12:13" x14ac:dyDescent="0.2">
      <c r="L1071" s="129"/>
      <c r="M1071" s="132"/>
    </row>
    <row r="1072" spans="12:13" x14ac:dyDescent="0.2">
      <c r="L1072" s="129"/>
      <c r="M1072" s="132"/>
    </row>
    <row r="1073" spans="12:13" x14ac:dyDescent="0.2">
      <c r="L1073" s="129"/>
      <c r="M1073" s="132"/>
    </row>
    <row r="1074" spans="12:13" x14ac:dyDescent="0.2">
      <c r="L1074" s="129"/>
      <c r="M1074" s="132"/>
    </row>
    <row r="1075" spans="12:13" x14ac:dyDescent="0.2">
      <c r="L1075" s="129"/>
      <c r="M1075" s="132"/>
    </row>
    <row r="1076" spans="12:13" x14ac:dyDescent="0.2">
      <c r="L1076" s="129"/>
      <c r="M1076" s="132"/>
    </row>
    <row r="1077" spans="12:13" x14ac:dyDescent="0.2">
      <c r="L1077" s="129"/>
      <c r="M1077" s="132"/>
    </row>
    <row r="1078" spans="12:13" x14ac:dyDescent="0.2">
      <c r="L1078" s="129"/>
      <c r="M1078" s="132"/>
    </row>
    <row r="1079" spans="12:13" x14ac:dyDescent="0.2">
      <c r="L1079" s="129"/>
      <c r="M1079" s="132"/>
    </row>
    <row r="1080" spans="12:13" x14ac:dyDescent="0.2">
      <c r="L1080" s="129"/>
      <c r="M1080" s="132"/>
    </row>
    <row r="1081" spans="12:13" x14ac:dyDescent="0.2">
      <c r="L1081" s="129"/>
      <c r="M1081" s="132"/>
    </row>
    <row r="1082" spans="12:13" x14ac:dyDescent="0.2">
      <c r="L1082" s="129"/>
      <c r="M1082" s="132"/>
    </row>
    <row r="1083" spans="12:13" x14ac:dyDescent="0.2">
      <c r="L1083" s="129"/>
      <c r="M1083" s="132"/>
    </row>
    <row r="1084" spans="12:13" x14ac:dyDescent="0.2">
      <c r="L1084" s="129"/>
      <c r="M1084" s="132"/>
    </row>
    <row r="1085" spans="12:13" x14ac:dyDescent="0.2">
      <c r="L1085" s="129"/>
      <c r="M1085" s="132"/>
    </row>
    <row r="1086" spans="12:13" x14ac:dyDescent="0.2">
      <c r="L1086" s="129"/>
      <c r="M1086" s="132"/>
    </row>
    <row r="1087" spans="12:13" x14ac:dyDescent="0.2">
      <c r="L1087" s="129"/>
      <c r="M1087" s="132"/>
    </row>
    <row r="1088" spans="12:13" x14ac:dyDescent="0.2">
      <c r="L1088" s="129"/>
      <c r="M1088" s="132"/>
    </row>
    <row r="1089" spans="12:13" x14ac:dyDescent="0.2">
      <c r="L1089" s="129"/>
      <c r="M1089" s="132"/>
    </row>
    <row r="1090" spans="12:13" x14ac:dyDescent="0.2">
      <c r="L1090" s="129"/>
      <c r="M1090" s="132"/>
    </row>
    <row r="1091" spans="12:13" x14ac:dyDescent="0.2">
      <c r="L1091" s="129"/>
      <c r="M1091" s="132"/>
    </row>
    <row r="1092" spans="12:13" x14ac:dyDescent="0.2">
      <c r="L1092" s="129"/>
      <c r="M1092" s="132"/>
    </row>
    <row r="1093" spans="12:13" x14ac:dyDescent="0.2">
      <c r="L1093" s="129"/>
      <c r="M1093" s="132"/>
    </row>
    <row r="1094" spans="12:13" x14ac:dyDescent="0.2">
      <c r="L1094" s="129"/>
      <c r="M1094" s="132"/>
    </row>
    <row r="1095" spans="12:13" x14ac:dyDescent="0.2">
      <c r="L1095" s="129"/>
      <c r="M1095" s="132"/>
    </row>
    <row r="1096" spans="12:13" x14ac:dyDescent="0.2">
      <c r="L1096" s="129"/>
      <c r="M1096" s="132"/>
    </row>
    <row r="1097" spans="12:13" x14ac:dyDescent="0.2">
      <c r="L1097" s="129"/>
      <c r="M1097" s="132"/>
    </row>
    <row r="1098" spans="12:13" x14ac:dyDescent="0.2">
      <c r="L1098" s="129"/>
      <c r="M1098" s="132"/>
    </row>
    <row r="1099" spans="12:13" x14ac:dyDescent="0.2">
      <c r="L1099" s="129"/>
      <c r="M1099" s="132"/>
    </row>
    <row r="1100" spans="12:13" x14ac:dyDescent="0.2">
      <c r="L1100" s="129"/>
      <c r="M1100" s="132"/>
    </row>
    <row r="1101" spans="12:13" x14ac:dyDescent="0.2">
      <c r="L1101" s="129"/>
      <c r="M1101" s="132"/>
    </row>
    <row r="1102" spans="12:13" x14ac:dyDescent="0.2">
      <c r="L1102" s="129"/>
      <c r="M1102" s="132"/>
    </row>
    <row r="1103" spans="12:13" x14ac:dyDescent="0.2">
      <c r="L1103" s="129"/>
      <c r="M1103" s="132"/>
    </row>
    <row r="1104" spans="12:13" x14ac:dyDescent="0.2">
      <c r="L1104" s="129"/>
      <c r="M1104" s="132"/>
    </row>
    <row r="1105" spans="12:13" x14ac:dyDescent="0.2">
      <c r="L1105" s="129"/>
      <c r="M1105" s="132"/>
    </row>
    <row r="1106" spans="12:13" x14ac:dyDescent="0.2">
      <c r="L1106" s="129"/>
      <c r="M1106" s="132"/>
    </row>
    <row r="1107" spans="12:13" x14ac:dyDescent="0.2">
      <c r="L1107" s="129"/>
      <c r="M1107" s="132"/>
    </row>
    <row r="1108" spans="12:13" x14ac:dyDescent="0.2">
      <c r="L1108" s="129"/>
      <c r="M1108" s="132"/>
    </row>
    <row r="1109" spans="12:13" x14ac:dyDescent="0.2">
      <c r="L1109" s="129"/>
      <c r="M1109" s="132"/>
    </row>
    <row r="1110" spans="12:13" x14ac:dyDescent="0.2">
      <c r="L1110" s="129"/>
      <c r="M1110" s="132"/>
    </row>
    <row r="1111" spans="12:13" x14ac:dyDescent="0.2">
      <c r="L1111" s="129"/>
      <c r="M1111" s="132"/>
    </row>
    <row r="1112" spans="12:13" x14ac:dyDescent="0.2">
      <c r="L1112" s="129"/>
      <c r="M1112" s="132"/>
    </row>
    <row r="1113" spans="12:13" x14ac:dyDescent="0.2">
      <c r="L1113" s="129"/>
      <c r="M1113" s="132"/>
    </row>
    <row r="1114" spans="12:13" x14ac:dyDescent="0.2">
      <c r="L1114" s="129"/>
      <c r="M1114" s="132"/>
    </row>
    <row r="1115" spans="12:13" x14ac:dyDescent="0.2">
      <c r="L1115" s="129"/>
      <c r="M1115" s="132"/>
    </row>
    <row r="1116" spans="12:13" x14ac:dyDescent="0.2">
      <c r="L1116" s="129"/>
      <c r="M1116" s="132"/>
    </row>
    <row r="1117" spans="12:13" x14ac:dyDescent="0.2">
      <c r="L1117" s="129"/>
      <c r="M1117" s="132"/>
    </row>
    <row r="1118" spans="12:13" x14ac:dyDescent="0.2">
      <c r="L1118" s="129"/>
      <c r="M1118" s="132"/>
    </row>
    <row r="1119" spans="12:13" x14ac:dyDescent="0.2">
      <c r="L1119" s="129"/>
      <c r="M1119" s="132"/>
    </row>
    <row r="1120" spans="12:13" x14ac:dyDescent="0.2">
      <c r="L1120" s="129"/>
      <c r="M1120" s="132"/>
    </row>
    <row r="1121" spans="12:13" x14ac:dyDescent="0.2">
      <c r="L1121" s="129"/>
      <c r="M1121" s="132"/>
    </row>
    <row r="1122" spans="12:13" x14ac:dyDescent="0.2">
      <c r="L1122" s="129"/>
      <c r="M1122" s="132"/>
    </row>
    <row r="1123" spans="12:13" x14ac:dyDescent="0.2">
      <c r="L1123" s="129"/>
      <c r="M1123" s="132"/>
    </row>
    <row r="1124" spans="12:13" x14ac:dyDescent="0.2">
      <c r="L1124" s="129"/>
      <c r="M1124" s="132"/>
    </row>
    <row r="1125" spans="12:13" x14ac:dyDescent="0.2">
      <c r="L1125" s="129"/>
      <c r="M1125" s="132"/>
    </row>
    <row r="1126" spans="12:13" x14ac:dyDescent="0.2">
      <c r="L1126" s="129"/>
      <c r="M1126" s="132"/>
    </row>
    <row r="1127" spans="12:13" x14ac:dyDescent="0.2">
      <c r="L1127" s="129"/>
      <c r="M1127" s="132"/>
    </row>
    <row r="1128" spans="12:13" x14ac:dyDescent="0.2">
      <c r="L1128" s="129"/>
      <c r="M1128" s="132"/>
    </row>
    <row r="1129" spans="12:13" x14ac:dyDescent="0.2">
      <c r="L1129" s="129"/>
      <c r="M1129" s="132"/>
    </row>
    <row r="1130" spans="12:13" x14ac:dyDescent="0.2">
      <c r="L1130" s="129"/>
      <c r="M1130" s="132"/>
    </row>
    <row r="1131" spans="12:13" x14ac:dyDescent="0.2">
      <c r="L1131" s="129"/>
      <c r="M1131" s="132"/>
    </row>
    <row r="1132" spans="12:13" x14ac:dyDescent="0.2">
      <c r="L1132" s="129"/>
      <c r="M1132" s="132"/>
    </row>
    <row r="1133" spans="12:13" x14ac:dyDescent="0.2">
      <c r="L1133" s="129"/>
      <c r="M1133" s="132"/>
    </row>
    <row r="1134" spans="12:13" x14ac:dyDescent="0.2">
      <c r="L1134" s="129"/>
      <c r="M1134" s="132"/>
    </row>
    <row r="1135" spans="12:13" x14ac:dyDescent="0.2">
      <c r="L1135" s="129"/>
      <c r="M1135" s="132"/>
    </row>
    <row r="1136" spans="12:13" x14ac:dyDescent="0.2">
      <c r="L1136" s="129"/>
      <c r="M1136" s="132"/>
    </row>
    <row r="1137" spans="12:13" x14ac:dyDescent="0.2">
      <c r="L1137" s="129"/>
      <c r="M1137" s="132"/>
    </row>
    <row r="1138" spans="12:13" x14ac:dyDescent="0.2">
      <c r="L1138" s="129"/>
      <c r="M1138" s="132"/>
    </row>
    <row r="1139" spans="12:13" x14ac:dyDescent="0.2">
      <c r="L1139" s="129"/>
      <c r="M1139" s="132"/>
    </row>
    <row r="1140" spans="12:13" x14ac:dyDescent="0.2">
      <c r="L1140" s="129"/>
      <c r="M1140" s="132"/>
    </row>
    <row r="1141" spans="12:13" x14ac:dyDescent="0.2">
      <c r="L1141" s="129"/>
      <c r="M1141" s="132"/>
    </row>
    <row r="1142" spans="12:13" x14ac:dyDescent="0.2">
      <c r="L1142" s="129"/>
      <c r="M1142" s="132"/>
    </row>
    <row r="1143" spans="12:13" x14ac:dyDescent="0.2">
      <c r="L1143" s="129"/>
      <c r="M1143" s="132"/>
    </row>
    <row r="1144" spans="12:13" x14ac:dyDescent="0.2">
      <c r="L1144" s="129"/>
      <c r="M1144" s="132"/>
    </row>
    <row r="1145" spans="12:13" x14ac:dyDescent="0.2">
      <c r="L1145" s="129"/>
      <c r="M1145" s="132"/>
    </row>
    <row r="1146" spans="12:13" x14ac:dyDescent="0.2">
      <c r="L1146" s="129"/>
      <c r="M1146" s="132"/>
    </row>
    <row r="1147" spans="12:13" x14ac:dyDescent="0.2">
      <c r="L1147" s="129"/>
      <c r="M1147" s="132"/>
    </row>
    <row r="1148" spans="12:13" x14ac:dyDescent="0.2">
      <c r="L1148" s="129"/>
      <c r="M1148" s="132"/>
    </row>
    <row r="1149" spans="12:13" x14ac:dyDescent="0.2">
      <c r="L1149" s="129"/>
      <c r="M1149" s="132"/>
    </row>
    <row r="1150" spans="12:13" x14ac:dyDescent="0.2">
      <c r="L1150" s="129"/>
      <c r="M1150" s="132"/>
    </row>
    <row r="1151" spans="12:13" x14ac:dyDescent="0.2">
      <c r="L1151" s="129"/>
      <c r="M1151" s="132"/>
    </row>
    <row r="1152" spans="12:13" x14ac:dyDescent="0.2">
      <c r="L1152" s="129"/>
      <c r="M1152" s="132"/>
    </row>
    <row r="1153" spans="12:13" x14ac:dyDescent="0.2">
      <c r="L1153" s="129"/>
      <c r="M1153" s="132"/>
    </row>
    <row r="1154" spans="12:13" x14ac:dyDescent="0.2">
      <c r="L1154" s="129"/>
      <c r="M1154" s="132"/>
    </row>
    <row r="1155" spans="12:13" x14ac:dyDescent="0.2">
      <c r="L1155" s="129"/>
      <c r="M1155" s="132"/>
    </row>
    <row r="1156" spans="12:13" x14ac:dyDescent="0.2">
      <c r="L1156" s="129"/>
      <c r="M1156" s="132"/>
    </row>
    <row r="1157" spans="12:13" x14ac:dyDescent="0.2">
      <c r="L1157" s="129"/>
      <c r="M1157" s="132"/>
    </row>
    <row r="1158" spans="12:13" x14ac:dyDescent="0.2">
      <c r="L1158" s="129"/>
      <c r="M1158" s="132"/>
    </row>
    <row r="1159" spans="12:13" x14ac:dyDescent="0.2">
      <c r="L1159" s="129"/>
      <c r="M1159" s="132"/>
    </row>
    <row r="1160" spans="12:13" x14ac:dyDescent="0.2">
      <c r="L1160" s="129"/>
      <c r="M1160" s="132"/>
    </row>
    <row r="1161" spans="12:13" x14ac:dyDescent="0.2">
      <c r="L1161" s="129"/>
      <c r="M1161" s="132"/>
    </row>
    <row r="1162" spans="12:13" x14ac:dyDescent="0.2">
      <c r="L1162" s="129"/>
      <c r="M1162" s="132"/>
    </row>
    <row r="1163" spans="12:13" x14ac:dyDescent="0.2">
      <c r="L1163" s="129"/>
      <c r="M1163" s="132"/>
    </row>
    <row r="1164" spans="12:13" x14ac:dyDescent="0.2">
      <c r="L1164" s="129"/>
      <c r="M1164" s="132"/>
    </row>
    <row r="1165" spans="12:13" x14ac:dyDescent="0.2">
      <c r="L1165" s="129"/>
      <c r="M1165" s="132"/>
    </row>
    <row r="1166" spans="12:13" x14ac:dyDescent="0.2">
      <c r="L1166" s="129"/>
      <c r="M1166" s="132"/>
    </row>
    <row r="1167" spans="12:13" x14ac:dyDescent="0.2">
      <c r="L1167" s="129"/>
      <c r="M1167" s="132"/>
    </row>
    <row r="1168" spans="12:13" x14ac:dyDescent="0.2">
      <c r="L1168" s="129"/>
      <c r="M1168" s="132"/>
    </row>
    <row r="1169" spans="12:13" x14ac:dyDescent="0.2">
      <c r="L1169" s="129"/>
      <c r="M1169" s="132"/>
    </row>
    <row r="1170" spans="12:13" x14ac:dyDescent="0.2">
      <c r="L1170" s="129"/>
      <c r="M1170" s="132"/>
    </row>
    <row r="1171" spans="12:13" x14ac:dyDescent="0.2">
      <c r="L1171" s="129"/>
      <c r="M1171" s="132"/>
    </row>
    <row r="1172" spans="12:13" x14ac:dyDescent="0.2">
      <c r="L1172" s="129"/>
      <c r="M1172" s="132"/>
    </row>
    <row r="1173" spans="12:13" x14ac:dyDescent="0.2">
      <c r="L1173" s="129"/>
      <c r="M1173" s="132"/>
    </row>
    <row r="1174" spans="12:13" x14ac:dyDescent="0.2">
      <c r="L1174" s="129"/>
      <c r="M1174" s="132"/>
    </row>
    <row r="1175" spans="12:13" x14ac:dyDescent="0.2">
      <c r="L1175" s="129"/>
      <c r="M1175" s="132"/>
    </row>
    <row r="1176" spans="12:13" x14ac:dyDescent="0.2">
      <c r="L1176" s="129"/>
      <c r="M1176" s="132"/>
    </row>
    <row r="1177" spans="12:13" x14ac:dyDescent="0.2">
      <c r="L1177" s="129"/>
      <c r="M1177" s="132"/>
    </row>
    <row r="1178" spans="12:13" x14ac:dyDescent="0.2">
      <c r="L1178" s="129"/>
      <c r="M1178" s="132"/>
    </row>
    <row r="1179" spans="12:13" x14ac:dyDescent="0.2">
      <c r="L1179" s="129"/>
      <c r="M1179" s="132"/>
    </row>
    <row r="1180" spans="12:13" x14ac:dyDescent="0.2">
      <c r="L1180" s="129"/>
      <c r="M1180" s="132"/>
    </row>
    <row r="1181" spans="12:13" x14ac:dyDescent="0.2">
      <c r="L1181" s="129"/>
      <c r="M1181" s="132"/>
    </row>
    <row r="1182" spans="12:13" x14ac:dyDescent="0.2">
      <c r="L1182" s="129"/>
      <c r="M1182" s="132"/>
    </row>
    <row r="1183" spans="12:13" x14ac:dyDescent="0.2">
      <c r="L1183" s="129"/>
      <c r="M1183" s="132"/>
    </row>
    <row r="1184" spans="12:13" x14ac:dyDescent="0.2">
      <c r="L1184" s="129"/>
      <c r="M1184" s="132"/>
    </row>
    <row r="1185" spans="12:13" x14ac:dyDescent="0.2">
      <c r="L1185" s="129"/>
      <c r="M1185" s="132"/>
    </row>
    <row r="1186" spans="12:13" x14ac:dyDescent="0.2">
      <c r="L1186" s="129"/>
      <c r="M1186" s="132"/>
    </row>
    <row r="1187" spans="12:13" x14ac:dyDescent="0.2">
      <c r="L1187" s="129"/>
      <c r="M1187" s="132"/>
    </row>
    <row r="1188" spans="12:13" x14ac:dyDescent="0.2">
      <c r="L1188" s="129"/>
      <c r="M1188" s="132"/>
    </row>
    <row r="1189" spans="12:13" x14ac:dyDescent="0.2">
      <c r="L1189" s="129"/>
      <c r="M1189" s="132"/>
    </row>
    <row r="1190" spans="12:13" x14ac:dyDescent="0.2">
      <c r="L1190" s="129"/>
      <c r="M1190" s="132"/>
    </row>
    <row r="1191" spans="12:13" x14ac:dyDescent="0.2">
      <c r="L1191" s="129"/>
      <c r="M1191" s="132"/>
    </row>
    <row r="1192" spans="12:13" x14ac:dyDescent="0.2">
      <c r="L1192" s="129"/>
      <c r="M1192" s="132"/>
    </row>
    <row r="1193" spans="12:13" x14ac:dyDescent="0.2">
      <c r="L1193" s="129"/>
      <c r="M1193" s="132"/>
    </row>
    <row r="1194" spans="12:13" x14ac:dyDescent="0.2">
      <c r="L1194" s="129"/>
      <c r="M1194" s="132"/>
    </row>
    <row r="1195" spans="12:13" x14ac:dyDescent="0.2">
      <c r="L1195" s="129"/>
      <c r="M1195" s="132"/>
    </row>
    <row r="1196" spans="12:13" x14ac:dyDescent="0.2">
      <c r="L1196" s="129"/>
      <c r="M1196" s="132"/>
    </row>
    <row r="1197" spans="12:13" x14ac:dyDescent="0.2">
      <c r="L1197" s="129"/>
      <c r="M1197" s="132"/>
    </row>
    <row r="1198" spans="12:13" x14ac:dyDescent="0.2">
      <c r="L1198" s="129"/>
      <c r="M1198" s="132"/>
    </row>
    <row r="1199" spans="12:13" x14ac:dyDescent="0.2">
      <c r="L1199" s="129"/>
      <c r="M1199" s="132"/>
    </row>
    <row r="1200" spans="12:13" x14ac:dyDescent="0.2">
      <c r="L1200" s="129"/>
      <c r="M1200" s="132"/>
    </row>
    <row r="1201" spans="12:13" x14ac:dyDescent="0.2">
      <c r="L1201" s="129"/>
      <c r="M1201" s="132"/>
    </row>
    <row r="1202" spans="12:13" x14ac:dyDescent="0.2">
      <c r="L1202" s="129"/>
      <c r="M1202" s="132"/>
    </row>
    <row r="1203" spans="12:13" x14ac:dyDescent="0.2">
      <c r="L1203" s="129"/>
      <c r="M1203" s="132"/>
    </row>
    <row r="1204" spans="12:13" x14ac:dyDescent="0.2">
      <c r="L1204" s="129"/>
      <c r="M1204" s="132"/>
    </row>
    <row r="1205" spans="12:13" x14ac:dyDescent="0.2">
      <c r="L1205" s="129"/>
      <c r="M1205" s="132"/>
    </row>
    <row r="1206" spans="12:13" x14ac:dyDescent="0.2">
      <c r="L1206" s="129"/>
      <c r="M1206" s="132"/>
    </row>
    <row r="1207" spans="12:13" x14ac:dyDescent="0.2">
      <c r="L1207" s="129"/>
      <c r="M1207" s="132"/>
    </row>
    <row r="1208" spans="12:13" x14ac:dyDescent="0.2">
      <c r="L1208" s="129"/>
      <c r="M1208" s="132"/>
    </row>
    <row r="1209" spans="12:13" x14ac:dyDescent="0.2">
      <c r="L1209" s="129"/>
      <c r="M1209" s="132"/>
    </row>
    <row r="1210" spans="12:13" x14ac:dyDescent="0.2">
      <c r="L1210" s="129"/>
      <c r="M1210" s="132"/>
    </row>
    <row r="1211" spans="12:13" x14ac:dyDescent="0.2">
      <c r="L1211" s="129"/>
      <c r="M1211" s="132"/>
    </row>
    <row r="1212" spans="12:13" x14ac:dyDescent="0.2">
      <c r="L1212" s="129"/>
      <c r="M1212" s="132"/>
    </row>
    <row r="1213" spans="12:13" x14ac:dyDescent="0.2">
      <c r="L1213" s="129"/>
      <c r="M1213" s="132"/>
    </row>
    <row r="1214" spans="12:13" x14ac:dyDescent="0.2">
      <c r="L1214" s="129"/>
      <c r="M1214" s="132"/>
    </row>
    <row r="1215" spans="12:13" x14ac:dyDescent="0.2">
      <c r="L1215" s="129"/>
      <c r="M1215" s="132"/>
    </row>
    <row r="1216" spans="12:13" x14ac:dyDescent="0.2">
      <c r="L1216" s="129"/>
      <c r="M1216" s="132"/>
    </row>
    <row r="1217" spans="12:13" x14ac:dyDescent="0.2">
      <c r="L1217" s="129"/>
      <c r="M1217" s="132"/>
    </row>
    <row r="1218" spans="12:13" x14ac:dyDescent="0.2">
      <c r="L1218" s="129"/>
      <c r="M1218" s="132"/>
    </row>
    <row r="1219" spans="12:13" x14ac:dyDescent="0.2">
      <c r="L1219" s="129"/>
      <c r="M1219" s="132"/>
    </row>
    <row r="1220" spans="12:13" x14ac:dyDescent="0.2">
      <c r="L1220" s="129"/>
      <c r="M1220" s="132"/>
    </row>
    <row r="1221" spans="12:13" x14ac:dyDescent="0.2">
      <c r="L1221" s="129"/>
      <c r="M1221" s="132"/>
    </row>
    <row r="1222" spans="12:13" x14ac:dyDescent="0.2">
      <c r="L1222" s="129"/>
      <c r="M1222" s="132"/>
    </row>
    <row r="1223" spans="12:13" x14ac:dyDescent="0.2">
      <c r="L1223" s="129"/>
      <c r="M1223" s="132"/>
    </row>
    <row r="1224" spans="12:13" x14ac:dyDescent="0.2">
      <c r="L1224" s="129"/>
      <c r="M1224" s="132"/>
    </row>
    <row r="1225" spans="12:13" x14ac:dyDescent="0.2">
      <c r="L1225" s="129"/>
      <c r="M1225" s="132"/>
    </row>
    <row r="1226" spans="12:13" x14ac:dyDescent="0.2">
      <c r="L1226" s="129"/>
      <c r="M1226" s="132"/>
    </row>
    <row r="1227" spans="12:13" x14ac:dyDescent="0.2">
      <c r="L1227" s="129"/>
      <c r="M1227" s="132"/>
    </row>
    <row r="1228" spans="12:13" x14ac:dyDescent="0.2">
      <c r="L1228" s="129"/>
      <c r="M1228" s="132"/>
    </row>
    <row r="1229" spans="12:13" x14ac:dyDescent="0.2">
      <c r="L1229" s="129"/>
      <c r="M1229" s="132"/>
    </row>
    <row r="1230" spans="12:13" x14ac:dyDescent="0.2">
      <c r="L1230" s="129"/>
      <c r="M1230" s="132"/>
    </row>
    <row r="1231" spans="12:13" x14ac:dyDescent="0.2">
      <c r="L1231" s="129"/>
      <c r="M1231" s="132"/>
    </row>
    <row r="1232" spans="12:13" x14ac:dyDescent="0.2">
      <c r="L1232" s="129"/>
      <c r="M1232" s="132"/>
    </row>
    <row r="1233" spans="12:13" x14ac:dyDescent="0.2">
      <c r="L1233" s="129"/>
      <c r="M1233" s="132"/>
    </row>
    <row r="1234" spans="12:13" x14ac:dyDescent="0.2">
      <c r="L1234" s="129"/>
      <c r="M1234" s="132"/>
    </row>
    <row r="1235" spans="12:13" x14ac:dyDescent="0.2">
      <c r="L1235" s="129"/>
      <c r="M1235" s="132"/>
    </row>
    <row r="1236" spans="12:13" x14ac:dyDescent="0.2">
      <c r="L1236" s="129"/>
      <c r="M1236" s="132"/>
    </row>
    <row r="1237" spans="12:13" x14ac:dyDescent="0.2">
      <c r="L1237" s="129"/>
      <c r="M1237" s="132"/>
    </row>
    <row r="1238" spans="12:13" x14ac:dyDescent="0.2">
      <c r="L1238" s="129"/>
      <c r="M1238" s="132"/>
    </row>
    <row r="1239" spans="12:13" x14ac:dyDescent="0.2">
      <c r="L1239" s="129"/>
      <c r="M1239" s="132"/>
    </row>
    <row r="1240" spans="12:13" x14ac:dyDescent="0.2">
      <c r="L1240" s="129"/>
      <c r="M1240" s="132"/>
    </row>
    <row r="1241" spans="12:13" x14ac:dyDescent="0.2">
      <c r="L1241" s="129"/>
      <c r="M1241" s="132"/>
    </row>
    <row r="1242" spans="12:13" x14ac:dyDescent="0.2">
      <c r="L1242" s="129"/>
      <c r="M1242" s="132"/>
    </row>
    <row r="1243" spans="12:13" x14ac:dyDescent="0.2">
      <c r="L1243" s="129"/>
      <c r="M1243" s="132"/>
    </row>
    <row r="1244" spans="12:13" x14ac:dyDescent="0.2">
      <c r="L1244" s="129"/>
      <c r="M1244" s="132"/>
    </row>
    <row r="1245" spans="12:13" x14ac:dyDescent="0.2">
      <c r="L1245" s="129"/>
      <c r="M1245" s="132"/>
    </row>
    <row r="1246" spans="12:13" x14ac:dyDescent="0.2">
      <c r="L1246" s="129"/>
      <c r="M1246" s="132"/>
    </row>
    <row r="1247" spans="12:13" x14ac:dyDescent="0.2">
      <c r="L1247" s="129"/>
      <c r="M1247" s="132"/>
    </row>
    <row r="1248" spans="12:13" x14ac:dyDescent="0.2">
      <c r="L1248" s="129"/>
      <c r="M1248" s="132"/>
    </row>
    <row r="1249" spans="12:13" x14ac:dyDescent="0.2">
      <c r="L1249" s="129"/>
      <c r="M1249" s="132"/>
    </row>
    <row r="1250" spans="12:13" x14ac:dyDescent="0.2">
      <c r="L1250" s="129"/>
      <c r="M1250" s="132"/>
    </row>
    <row r="1251" spans="12:13" x14ac:dyDescent="0.2">
      <c r="L1251" s="129"/>
      <c r="M1251" s="132"/>
    </row>
    <row r="1252" spans="12:13" x14ac:dyDescent="0.2">
      <c r="L1252" s="129"/>
      <c r="M1252" s="132"/>
    </row>
    <row r="1253" spans="12:13" x14ac:dyDescent="0.2">
      <c r="L1253" s="129"/>
      <c r="M1253" s="132"/>
    </row>
    <row r="1254" spans="12:13" x14ac:dyDescent="0.2">
      <c r="L1254" s="129"/>
      <c r="M1254" s="132"/>
    </row>
    <row r="1255" spans="12:13" x14ac:dyDescent="0.2">
      <c r="L1255" s="129"/>
      <c r="M1255" s="132"/>
    </row>
    <row r="1256" spans="12:13" x14ac:dyDescent="0.2">
      <c r="L1256" s="129"/>
      <c r="M1256" s="132"/>
    </row>
    <row r="1257" spans="12:13" x14ac:dyDescent="0.2">
      <c r="L1257" s="129"/>
      <c r="M1257" s="132"/>
    </row>
    <row r="1258" spans="12:13" x14ac:dyDescent="0.2">
      <c r="L1258" s="129"/>
      <c r="M1258" s="132"/>
    </row>
    <row r="1259" spans="12:13" x14ac:dyDescent="0.2">
      <c r="L1259" s="129"/>
      <c r="M1259" s="132"/>
    </row>
    <row r="1260" spans="12:13" x14ac:dyDescent="0.2">
      <c r="L1260" s="129"/>
      <c r="M1260" s="132"/>
    </row>
    <row r="1261" spans="12:13" x14ac:dyDescent="0.2">
      <c r="L1261" s="129"/>
      <c r="M1261" s="132"/>
    </row>
    <row r="1262" spans="12:13" x14ac:dyDescent="0.2">
      <c r="L1262" s="129"/>
      <c r="M1262" s="132"/>
    </row>
    <row r="1263" spans="12:13" x14ac:dyDescent="0.2">
      <c r="L1263" s="129"/>
      <c r="M1263" s="132"/>
    </row>
    <row r="1264" spans="12:13" x14ac:dyDescent="0.2">
      <c r="L1264" s="129"/>
      <c r="M1264" s="132"/>
    </row>
    <row r="1265" spans="12:13" x14ac:dyDescent="0.2">
      <c r="L1265" s="129"/>
      <c r="M1265" s="132"/>
    </row>
    <row r="1266" spans="12:13" x14ac:dyDescent="0.2">
      <c r="L1266" s="129"/>
      <c r="M1266" s="132"/>
    </row>
    <row r="1267" spans="12:13" x14ac:dyDescent="0.2">
      <c r="L1267" s="129"/>
      <c r="M1267" s="132"/>
    </row>
    <row r="1268" spans="12:13" x14ac:dyDescent="0.2">
      <c r="L1268" s="129"/>
      <c r="M1268" s="132"/>
    </row>
    <row r="1269" spans="12:13" x14ac:dyDescent="0.2">
      <c r="L1269" s="129"/>
      <c r="M1269" s="132"/>
    </row>
    <row r="1270" spans="12:13" x14ac:dyDescent="0.2">
      <c r="L1270" s="129"/>
      <c r="M1270" s="132"/>
    </row>
    <row r="1271" spans="12:13" x14ac:dyDescent="0.2">
      <c r="L1271" s="129"/>
      <c r="M1271" s="132"/>
    </row>
    <row r="1272" spans="12:13" x14ac:dyDescent="0.2">
      <c r="L1272" s="129"/>
      <c r="M1272" s="132"/>
    </row>
    <row r="1273" spans="12:13" x14ac:dyDescent="0.2">
      <c r="L1273" s="129"/>
      <c r="M1273" s="132"/>
    </row>
    <row r="1274" spans="12:13" x14ac:dyDescent="0.2">
      <c r="L1274" s="129"/>
      <c r="M1274" s="132"/>
    </row>
    <row r="1275" spans="12:13" x14ac:dyDescent="0.2">
      <c r="L1275" s="129"/>
      <c r="M1275" s="132"/>
    </row>
    <row r="1276" spans="12:13" x14ac:dyDescent="0.2">
      <c r="L1276" s="129"/>
      <c r="M1276" s="132"/>
    </row>
    <row r="1277" spans="12:13" x14ac:dyDescent="0.2">
      <c r="L1277" s="129"/>
      <c r="M1277" s="132"/>
    </row>
    <row r="1278" spans="12:13" x14ac:dyDescent="0.2">
      <c r="L1278" s="129"/>
      <c r="M1278" s="132"/>
    </row>
    <row r="1279" spans="12:13" x14ac:dyDescent="0.2">
      <c r="L1279" s="129"/>
      <c r="M1279" s="132"/>
    </row>
    <row r="1280" spans="12:13" x14ac:dyDescent="0.2">
      <c r="L1280" s="129"/>
      <c r="M1280" s="132"/>
    </row>
    <row r="1281" spans="12:13" x14ac:dyDescent="0.2">
      <c r="L1281" s="129"/>
      <c r="M1281" s="132"/>
    </row>
    <row r="1282" spans="12:13" x14ac:dyDescent="0.2">
      <c r="L1282" s="129"/>
      <c r="M1282" s="132"/>
    </row>
    <row r="1283" spans="12:13" x14ac:dyDescent="0.2">
      <c r="L1283" s="129"/>
      <c r="M1283" s="132"/>
    </row>
    <row r="1284" spans="12:13" x14ac:dyDescent="0.2">
      <c r="L1284" s="129"/>
      <c r="M1284" s="132"/>
    </row>
    <row r="1285" spans="12:13" x14ac:dyDescent="0.2">
      <c r="L1285" s="129"/>
      <c r="M1285" s="132"/>
    </row>
    <row r="1286" spans="12:13" x14ac:dyDescent="0.2">
      <c r="L1286" s="129"/>
      <c r="M1286" s="132"/>
    </row>
    <row r="1287" spans="12:13" x14ac:dyDescent="0.2">
      <c r="L1287" s="129"/>
      <c r="M1287" s="132"/>
    </row>
    <row r="1288" spans="12:13" x14ac:dyDescent="0.2">
      <c r="L1288" s="129"/>
      <c r="M1288" s="132"/>
    </row>
    <row r="1289" spans="12:13" x14ac:dyDescent="0.2">
      <c r="L1289" s="129"/>
      <c r="M1289" s="132"/>
    </row>
    <row r="1290" spans="12:13" x14ac:dyDescent="0.2">
      <c r="L1290" s="129"/>
      <c r="M1290" s="132"/>
    </row>
    <row r="1291" spans="12:13" x14ac:dyDescent="0.2">
      <c r="L1291" s="129"/>
      <c r="M1291" s="132"/>
    </row>
    <row r="1292" spans="12:13" x14ac:dyDescent="0.2">
      <c r="L1292" s="129"/>
      <c r="M1292" s="132"/>
    </row>
    <row r="1293" spans="12:13" x14ac:dyDescent="0.2">
      <c r="L1293" s="129"/>
      <c r="M1293" s="132"/>
    </row>
    <row r="1294" spans="12:13" x14ac:dyDescent="0.2">
      <c r="L1294" s="129"/>
      <c r="M1294" s="132"/>
    </row>
    <row r="1295" spans="12:13" x14ac:dyDescent="0.2">
      <c r="L1295" s="129"/>
      <c r="M1295" s="132"/>
    </row>
    <row r="1296" spans="12:13" x14ac:dyDescent="0.2">
      <c r="L1296" s="129"/>
      <c r="M1296" s="132"/>
    </row>
    <row r="1297" spans="12:13" x14ac:dyDescent="0.2">
      <c r="L1297" s="129"/>
      <c r="M1297" s="132"/>
    </row>
    <row r="1298" spans="12:13" x14ac:dyDescent="0.2">
      <c r="L1298" s="129"/>
      <c r="M1298" s="132"/>
    </row>
    <row r="1299" spans="12:13" x14ac:dyDescent="0.2">
      <c r="L1299" s="129"/>
      <c r="M1299" s="132"/>
    </row>
    <row r="1300" spans="12:13" x14ac:dyDescent="0.2">
      <c r="L1300" s="129"/>
      <c r="M1300" s="132"/>
    </row>
    <row r="1301" spans="12:13" x14ac:dyDescent="0.2">
      <c r="L1301" s="129"/>
      <c r="M1301" s="132"/>
    </row>
    <row r="1302" spans="12:13" x14ac:dyDescent="0.2">
      <c r="L1302" s="129"/>
      <c r="M1302" s="132"/>
    </row>
    <row r="1303" spans="12:13" x14ac:dyDescent="0.2">
      <c r="L1303" s="129"/>
      <c r="M1303" s="132"/>
    </row>
    <row r="1304" spans="12:13" x14ac:dyDescent="0.2">
      <c r="L1304" s="129"/>
      <c r="M1304" s="132"/>
    </row>
    <row r="1305" spans="12:13" x14ac:dyDescent="0.2">
      <c r="L1305" s="129"/>
      <c r="M1305" s="132"/>
    </row>
    <row r="1306" spans="12:13" x14ac:dyDescent="0.2">
      <c r="L1306" s="129"/>
      <c r="M1306" s="132"/>
    </row>
    <row r="1307" spans="12:13" x14ac:dyDescent="0.2">
      <c r="L1307" s="129"/>
      <c r="M1307" s="132"/>
    </row>
    <row r="1308" spans="12:13" x14ac:dyDescent="0.2">
      <c r="L1308" s="129"/>
      <c r="M1308" s="132"/>
    </row>
    <row r="1309" spans="12:13" x14ac:dyDescent="0.2">
      <c r="L1309" s="129"/>
      <c r="M1309" s="132"/>
    </row>
    <row r="1310" spans="12:13" x14ac:dyDescent="0.2">
      <c r="L1310" s="129"/>
      <c r="M1310" s="132"/>
    </row>
    <row r="1311" spans="12:13" x14ac:dyDescent="0.2">
      <c r="L1311" s="129"/>
      <c r="M1311" s="132"/>
    </row>
    <row r="1312" spans="12:13" x14ac:dyDescent="0.2">
      <c r="L1312" s="129"/>
      <c r="M1312" s="132"/>
    </row>
    <row r="1313" spans="12:13" x14ac:dyDescent="0.2">
      <c r="L1313" s="129"/>
      <c r="M1313" s="132"/>
    </row>
    <row r="1314" spans="12:13" x14ac:dyDescent="0.2">
      <c r="L1314" s="129"/>
      <c r="M1314" s="132"/>
    </row>
    <row r="1315" spans="12:13" x14ac:dyDescent="0.2">
      <c r="L1315" s="129"/>
      <c r="M1315" s="132"/>
    </row>
    <row r="1316" spans="12:13" x14ac:dyDescent="0.2">
      <c r="L1316" s="129"/>
      <c r="M1316" s="132"/>
    </row>
    <row r="1317" spans="12:13" x14ac:dyDescent="0.2">
      <c r="L1317" s="129"/>
      <c r="M1317" s="132"/>
    </row>
    <row r="1318" spans="12:13" x14ac:dyDescent="0.2">
      <c r="L1318" s="129"/>
      <c r="M1318" s="132"/>
    </row>
    <row r="1319" spans="12:13" x14ac:dyDescent="0.2">
      <c r="L1319" s="129"/>
      <c r="M1319" s="132"/>
    </row>
    <row r="1320" spans="12:13" x14ac:dyDescent="0.2">
      <c r="L1320" s="129"/>
      <c r="M1320" s="132"/>
    </row>
    <row r="1321" spans="12:13" x14ac:dyDescent="0.2">
      <c r="L1321" s="129"/>
      <c r="M1321" s="132"/>
    </row>
    <row r="1322" spans="12:13" x14ac:dyDescent="0.2">
      <c r="L1322" s="129"/>
      <c r="M1322" s="132"/>
    </row>
    <row r="1323" spans="12:13" x14ac:dyDescent="0.2">
      <c r="L1323" s="129"/>
      <c r="M1323" s="132"/>
    </row>
    <row r="1324" spans="12:13" x14ac:dyDescent="0.2">
      <c r="L1324" s="129"/>
      <c r="M1324" s="132"/>
    </row>
    <row r="1325" spans="12:13" x14ac:dyDescent="0.2">
      <c r="L1325" s="129"/>
      <c r="M1325" s="132"/>
    </row>
    <row r="1326" spans="12:13" x14ac:dyDescent="0.2">
      <c r="L1326" s="129"/>
      <c r="M1326" s="132"/>
    </row>
    <row r="1327" spans="12:13" x14ac:dyDescent="0.2">
      <c r="L1327" s="129"/>
      <c r="M1327" s="132"/>
    </row>
    <row r="1328" spans="12:13" x14ac:dyDescent="0.2">
      <c r="L1328" s="129"/>
      <c r="M1328" s="132"/>
    </row>
    <row r="1329" spans="12:13" x14ac:dyDescent="0.2">
      <c r="L1329" s="129"/>
      <c r="M1329" s="132"/>
    </row>
    <row r="1330" spans="12:13" x14ac:dyDescent="0.2">
      <c r="L1330" s="129"/>
      <c r="M1330" s="132"/>
    </row>
    <row r="1331" spans="12:13" x14ac:dyDescent="0.2">
      <c r="L1331" s="129"/>
      <c r="M1331" s="132"/>
    </row>
    <row r="1332" spans="12:13" x14ac:dyDescent="0.2">
      <c r="L1332" s="129"/>
      <c r="M1332" s="132"/>
    </row>
    <row r="1333" spans="12:13" x14ac:dyDescent="0.2">
      <c r="L1333" s="129"/>
      <c r="M1333" s="132"/>
    </row>
    <row r="1334" spans="12:13" x14ac:dyDescent="0.2">
      <c r="L1334" s="129"/>
      <c r="M1334" s="132"/>
    </row>
    <row r="1335" spans="12:13" x14ac:dyDescent="0.2">
      <c r="L1335" s="129"/>
      <c r="M1335" s="132"/>
    </row>
    <row r="1336" spans="12:13" x14ac:dyDescent="0.2">
      <c r="L1336" s="129"/>
      <c r="M1336" s="132"/>
    </row>
    <row r="1337" spans="12:13" x14ac:dyDescent="0.2">
      <c r="L1337" s="129"/>
      <c r="M1337" s="132"/>
    </row>
    <row r="1338" spans="12:13" x14ac:dyDescent="0.2">
      <c r="L1338" s="129"/>
      <c r="M1338" s="132"/>
    </row>
    <row r="1339" spans="12:13" x14ac:dyDescent="0.2">
      <c r="L1339" s="129"/>
      <c r="M1339" s="132"/>
    </row>
    <row r="1340" spans="12:13" x14ac:dyDescent="0.2">
      <c r="L1340" s="129"/>
      <c r="M1340" s="132"/>
    </row>
    <row r="1341" spans="12:13" x14ac:dyDescent="0.2">
      <c r="L1341" s="129"/>
      <c r="M1341" s="132"/>
    </row>
    <row r="1342" spans="12:13" x14ac:dyDescent="0.2">
      <c r="L1342" s="129"/>
      <c r="M1342" s="132"/>
    </row>
    <row r="1343" spans="12:13" x14ac:dyDescent="0.2">
      <c r="L1343" s="129"/>
      <c r="M1343" s="132"/>
    </row>
    <row r="1344" spans="12:13" x14ac:dyDescent="0.2">
      <c r="L1344" s="129"/>
      <c r="M1344" s="132"/>
    </row>
    <row r="1345" spans="12:13" x14ac:dyDescent="0.2">
      <c r="L1345" s="129"/>
      <c r="M1345" s="132"/>
    </row>
    <row r="1346" spans="12:13" x14ac:dyDescent="0.2">
      <c r="L1346" s="129"/>
      <c r="M1346" s="132"/>
    </row>
    <row r="1347" spans="12:13" x14ac:dyDescent="0.2">
      <c r="L1347" s="129"/>
      <c r="M1347" s="132"/>
    </row>
    <row r="1348" spans="12:13" x14ac:dyDescent="0.2">
      <c r="L1348" s="129"/>
      <c r="M1348" s="132"/>
    </row>
    <row r="1349" spans="12:13" x14ac:dyDescent="0.2">
      <c r="L1349" s="129"/>
      <c r="M1349" s="132"/>
    </row>
    <row r="1350" spans="12:13" x14ac:dyDescent="0.2">
      <c r="L1350" s="129"/>
      <c r="M1350" s="132"/>
    </row>
    <row r="1351" spans="12:13" x14ac:dyDescent="0.2">
      <c r="L1351" s="129"/>
      <c r="M1351" s="132"/>
    </row>
    <row r="1352" spans="12:13" x14ac:dyDescent="0.2">
      <c r="L1352" s="129"/>
      <c r="M1352" s="132"/>
    </row>
    <row r="1353" spans="12:13" x14ac:dyDescent="0.2">
      <c r="L1353" s="129"/>
      <c r="M1353" s="132"/>
    </row>
    <row r="1354" spans="12:13" x14ac:dyDescent="0.2">
      <c r="L1354" s="129"/>
      <c r="M1354" s="132"/>
    </row>
    <row r="1355" spans="12:13" x14ac:dyDescent="0.2">
      <c r="L1355" s="129"/>
      <c r="M1355" s="132"/>
    </row>
    <row r="1356" spans="12:13" x14ac:dyDescent="0.2">
      <c r="L1356" s="129"/>
      <c r="M1356" s="132"/>
    </row>
    <row r="1357" spans="12:13" x14ac:dyDescent="0.2">
      <c r="L1357" s="129"/>
      <c r="M1357" s="132"/>
    </row>
    <row r="1358" spans="12:13" x14ac:dyDescent="0.2">
      <c r="L1358" s="129"/>
      <c r="M1358" s="132"/>
    </row>
    <row r="1359" spans="12:13" x14ac:dyDescent="0.2">
      <c r="L1359" s="129"/>
      <c r="M1359" s="132"/>
    </row>
    <row r="1360" spans="12:13" x14ac:dyDescent="0.2">
      <c r="L1360" s="129"/>
      <c r="M1360" s="132"/>
    </row>
    <row r="1361" spans="12:13" x14ac:dyDescent="0.2">
      <c r="L1361" s="129"/>
      <c r="M1361" s="132"/>
    </row>
    <row r="1362" spans="12:13" x14ac:dyDescent="0.2">
      <c r="L1362" s="129"/>
      <c r="M1362" s="132"/>
    </row>
    <row r="1363" spans="12:13" x14ac:dyDescent="0.2">
      <c r="L1363" s="129"/>
      <c r="M1363" s="132"/>
    </row>
    <row r="1364" spans="12:13" x14ac:dyDescent="0.2">
      <c r="L1364" s="129"/>
      <c r="M1364" s="132"/>
    </row>
    <row r="1365" spans="12:13" x14ac:dyDescent="0.2">
      <c r="L1365" s="129"/>
      <c r="M1365" s="132"/>
    </row>
    <row r="1366" spans="12:13" x14ac:dyDescent="0.2">
      <c r="L1366" s="129"/>
      <c r="M1366" s="132"/>
    </row>
    <row r="1367" spans="12:13" x14ac:dyDescent="0.2">
      <c r="L1367" s="129"/>
      <c r="M1367" s="132"/>
    </row>
    <row r="1368" spans="12:13" x14ac:dyDescent="0.2">
      <c r="L1368" s="129"/>
      <c r="M1368" s="132"/>
    </row>
    <row r="1369" spans="12:13" x14ac:dyDescent="0.2">
      <c r="L1369" s="129"/>
      <c r="M1369" s="132"/>
    </row>
    <row r="1370" spans="12:13" x14ac:dyDescent="0.2">
      <c r="L1370" s="129"/>
      <c r="M1370" s="132"/>
    </row>
    <row r="1371" spans="12:13" x14ac:dyDescent="0.2">
      <c r="L1371" s="129"/>
      <c r="M1371" s="132"/>
    </row>
    <row r="1372" spans="12:13" x14ac:dyDescent="0.2">
      <c r="L1372" s="129"/>
      <c r="M1372" s="132"/>
    </row>
    <row r="1373" spans="12:13" x14ac:dyDescent="0.2">
      <c r="L1373" s="129"/>
      <c r="M1373" s="132"/>
    </row>
    <row r="1374" spans="12:13" x14ac:dyDescent="0.2">
      <c r="L1374" s="129"/>
      <c r="M1374" s="132"/>
    </row>
    <row r="1375" spans="12:13" x14ac:dyDescent="0.2">
      <c r="L1375" s="129"/>
      <c r="M1375" s="132"/>
    </row>
    <row r="1376" spans="12:13" x14ac:dyDescent="0.2">
      <c r="L1376" s="129"/>
      <c r="M1376" s="132"/>
    </row>
    <row r="1377" spans="12:13" x14ac:dyDescent="0.2">
      <c r="L1377" s="129"/>
      <c r="M1377" s="132"/>
    </row>
    <row r="1378" spans="12:13" x14ac:dyDescent="0.2">
      <c r="L1378" s="129"/>
      <c r="M1378" s="132"/>
    </row>
    <row r="1379" spans="12:13" x14ac:dyDescent="0.2">
      <c r="L1379" s="129"/>
      <c r="M1379" s="132"/>
    </row>
    <row r="1380" spans="12:13" x14ac:dyDescent="0.2">
      <c r="L1380" s="129"/>
      <c r="M1380" s="132"/>
    </row>
    <row r="1381" spans="12:13" x14ac:dyDescent="0.2">
      <c r="L1381" s="129"/>
      <c r="M1381" s="132"/>
    </row>
    <row r="1382" spans="12:13" x14ac:dyDescent="0.2">
      <c r="L1382" s="129"/>
      <c r="M1382" s="132"/>
    </row>
    <row r="1383" spans="12:13" x14ac:dyDescent="0.2">
      <c r="L1383" s="129"/>
      <c r="M1383" s="132"/>
    </row>
    <row r="1384" spans="12:13" x14ac:dyDescent="0.2">
      <c r="L1384" s="129"/>
      <c r="M1384" s="132"/>
    </row>
    <row r="1385" spans="12:13" x14ac:dyDescent="0.2">
      <c r="L1385" s="129"/>
      <c r="M1385" s="132"/>
    </row>
    <row r="1386" spans="12:13" x14ac:dyDescent="0.2">
      <c r="L1386" s="129"/>
      <c r="M1386" s="132"/>
    </row>
    <row r="1387" spans="12:13" x14ac:dyDescent="0.2">
      <c r="L1387" s="129"/>
      <c r="M1387" s="132"/>
    </row>
    <row r="1388" spans="12:13" x14ac:dyDescent="0.2">
      <c r="L1388" s="129"/>
      <c r="M1388" s="132"/>
    </row>
    <row r="1389" spans="12:13" x14ac:dyDescent="0.2">
      <c r="L1389" s="129"/>
      <c r="M1389" s="132"/>
    </row>
    <row r="1390" spans="12:13" x14ac:dyDescent="0.2">
      <c r="L1390" s="129"/>
      <c r="M1390" s="132"/>
    </row>
    <row r="1391" spans="12:13" x14ac:dyDescent="0.2">
      <c r="L1391" s="129"/>
      <c r="M1391" s="132"/>
    </row>
    <row r="1392" spans="12:13" x14ac:dyDescent="0.2">
      <c r="L1392" s="129"/>
      <c r="M1392" s="132"/>
    </row>
    <row r="1393" spans="12:13" x14ac:dyDescent="0.2">
      <c r="L1393" s="129"/>
      <c r="M1393" s="132"/>
    </row>
    <row r="1394" spans="12:13" x14ac:dyDescent="0.2">
      <c r="L1394" s="129"/>
      <c r="M1394" s="132"/>
    </row>
    <row r="1395" spans="12:13" x14ac:dyDescent="0.2">
      <c r="L1395" s="129"/>
      <c r="M1395" s="132"/>
    </row>
    <row r="1396" spans="12:13" x14ac:dyDescent="0.2">
      <c r="L1396" s="129"/>
      <c r="M1396" s="132"/>
    </row>
    <row r="1397" spans="12:13" x14ac:dyDescent="0.2">
      <c r="L1397" s="129"/>
      <c r="M1397" s="132"/>
    </row>
    <row r="1398" spans="12:13" x14ac:dyDescent="0.2">
      <c r="L1398" s="129"/>
      <c r="M1398" s="132"/>
    </row>
    <row r="1399" spans="12:13" x14ac:dyDescent="0.2">
      <c r="L1399" s="129"/>
      <c r="M1399" s="132"/>
    </row>
    <row r="1400" spans="12:13" x14ac:dyDescent="0.2">
      <c r="L1400" s="129"/>
      <c r="M1400" s="132"/>
    </row>
    <row r="1401" spans="12:13" x14ac:dyDescent="0.2">
      <c r="L1401" s="129"/>
      <c r="M1401" s="132"/>
    </row>
    <row r="1402" spans="12:13" x14ac:dyDescent="0.2">
      <c r="L1402" s="129"/>
      <c r="M1402" s="132"/>
    </row>
    <row r="1403" spans="12:13" x14ac:dyDescent="0.2">
      <c r="L1403" s="129"/>
      <c r="M1403" s="132"/>
    </row>
    <row r="1404" spans="12:13" x14ac:dyDescent="0.2">
      <c r="L1404" s="129"/>
      <c r="M1404" s="132"/>
    </row>
    <row r="1405" spans="12:13" x14ac:dyDescent="0.2">
      <c r="L1405" s="129"/>
      <c r="M1405" s="132"/>
    </row>
    <row r="1406" spans="12:13" x14ac:dyDescent="0.2">
      <c r="L1406" s="129"/>
      <c r="M1406" s="132"/>
    </row>
    <row r="1407" spans="12:13" x14ac:dyDescent="0.2">
      <c r="L1407" s="129"/>
      <c r="M1407" s="132"/>
    </row>
    <row r="1408" spans="12:13" x14ac:dyDescent="0.2">
      <c r="L1408" s="129"/>
      <c r="M1408" s="132"/>
    </row>
    <row r="1409" spans="12:13" x14ac:dyDescent="0.2">
      <c r="L1409" s="129"/>
      <c r="M1409" s="132"/>
    </row>
    <row r="1410" spans="12:13" x14ac:dyDescent="0.2">
      <c r="L1410" s="129"/>
      <c r="M1410" s="132"/>
    </row>
    <row r="1411" spans="12:13" x14ac:dyDescent="0.2">
      <c r="L1411" s="129"/>
      <c r="M1411" s="132"/>
    </row>
    <row r="1412" spans="12:13" x14ac:dyDescent="0.2">
      <c r="L1412" s="129"/>
      <c r="M1412" s="132"/>
    </row>
    <row r="1413" spans="12:13" x14ac:dyDescent="0.2">
      <c r="L1413" s="129"/>
      <c r="M1413" s="132"/>
    </row>
    <row r="1414" spans="12:13" x14ac:dyDescent="0.2">
      <c r="L1414" s="129"/>
      <c r="M1414" s="132"/>
    </row>
    <row r="1415" spans="12:13" x14ac:dyDescent="0.2">
      <c r="L1415" s="129"/>
      <c r="M1415" s="132"/>
    </row>
    <row r="1416" spans="12:13" x14ac:dyDescent="0.2">
      <c r="L1416" s="129"/>
      <c r="M1416" s="132"/>
    </row>
    <row r="1417" spans="12:13" x14ac:dyDescent="0.2">
      <c r="L1417" s="129"/>
      <c r="M1417" s="132"/>
    </row>
    <row r="1418" spans="12:13" x14ac:dyDescent="0.2">
      <c r="L1418" s="129"/>
      <c r="M1418" s="132"/>
    </row>
    <row r="1419" spans="12:13" x14ac:dyDescent="0.2">
      <c r="L1419" s="129"/>
      <c r="M1419" s="132"/>
    </row>
    <row r="1420" spans="12:13" x14ac:dyDescent="0.2">
      <c r="L1420" s="129"/>
      <c r="M1420" s="132"/>
    </row>
    <row r="1421" spans="12:13" x14ac:dyDescent="0.2">
      <c r="L1421" s="129"/>
      <c r="M1421" s="132"/>
    </row>
    <row r="1422" spans="12:13" x14ac:dyDescent="0.2">
      <c r="L1422" s="129"/>
      <c r="M1422" s="132"/>
    </row>
    <row r="1423" spans="12:13" x14ac:dyDescent="0.2">
      <c r="L1423" s="129"/>
      <c r="M1423" s="132"/>
    </row>
    <row r="1424" spans="12:13" x14ac:dyDescent="0.2">
      <c r="L1424" s="129"/>
      <c r="M1424" s="132"/>
    </row>
    <row r="1425" spans="12:13" x14ac:dyDescent="0.2">
      <c r="L1425" s="129"/>
      <c r="M1425" s="132"/>
    </row>
    <row r="1426" spans="12:13" x14ac:dyDescent="0.2">
      <c r="L1426" s="129"/>
      <c r="M1426" s="132"/>
    </row>
    <row r="1427" spans="12:13" x14ac:dyDescent="0.2">
      <c r="L1427" s="129"/>
      <c r="M1427" s="132"/>
    </row>
    <row r="1428" spans="12:13" x14ac:dyDescent="0.2">
      <c r="L1428" s="129"/>
      <c r="M1428" s="132"/>
    </row>
    <row r="1429" spans="12:13" x14ac:dyDescent="0.2">
      <c r="L1429" s="129"/>
      <c r="M1429" s="132"/>
    </row>
    <row r="1430" spans="12:13" x14ac:dyDescent="0.2">
      <c r="L1430" s="129"/>
      <c r="M1430" s="132"/>
    </row>
    <row r="1431" spans="12:13" x14ac:dyDescent="0.2">
      <c r="L1431" s="129"/>
      <c r="M1431" s="132"/>
    </row>
    <row r="1432" spans="12:13" x14ac:dyDescent="0.2">
      <c r="L1432" s="129"/>
      <c r="M1432" s="132"/>
    </row>
    <row r="1433" spans="12:13" x14ac:dyDescent="0.2">
      <c r="L1433" s="129"/>
      <c r="M1433" s="132"/>
    </row>
    <row r="1434" spans="12:13" x14ac:dyDescent="0.2">
      <c r="L1434" s="129"/>
      <c r="M1434" s="132"/>
    </row>
    <row r="1435" spans="12:13" x14ac:dyDescent="0.2">
      <c r="L1435" s="129"/>
      <c r="M1435" s="132"/>
    </row>
    <row r="1436" spans="12:13" x14ac:dyDescent="0.2">
      <c r="L1436" s="129"/>
      <c r="M1436" s="132"/>
    </row>
    <row r="1437" spans="12:13" x14ac:dyDescent="0.2">
      <c r="L1437" s="129"/>
      <c r="M1437" s="132"/>
    </row>
    <row r="1438" spans="12:13" x14ac:dyDescent="0.2">
      <c r="L1438" s="129"/>
      <c r="M1438" s="132"/>
    </row>
    <row r="1439" spans="12:13" x14ac:dyDescent="0.2">
      <c r="L1439" s="129"/>
      <c r="M1439" s="132"/>
    </row>
    <row r="1440" spans="12:13" x14ac:dyDescent="0.2">
      <c r="L1440" s="129"/>
      <c r="M1440" s="132"/>
    </row>
    <row r="1441" spans="12:13" x14ac:dyDescent="0.2">
      <c r="L1441" s="129"/>
      <c r="M1441" s="132"/>
    </row>
    <row r="1442" spans="12:13" x14ac:dyDescent="0.2">
      <c r="L1442" s="129"/>
      <c r="M1442" s="132"/>
    </row>
    <row r="1443" spans="12:13" x14ac:dyDescent="0.2">
      <c r="L1443" s="129"/>
      <c r="M1443" s="132"/>
    </row>
    <row r="1444" spans="12:13" x14ac:dyDescent="0.2">
      <c r="L1444" s="129"/>
      <c r="M1444" s="132"/>
    </row>
    <row r="1445" spans="12:13" x14ac:dyDescent="0.2">
      <c r="L1445" s="129"/>
      <c r="M1445" s="132"/>
    </row>
    <row r="1446" spans="12:13" x14ac:dyDescent="0.2">
      <c r="L1446" s="129"/>
      <c r="M1446" s="132"/>
    </row>
    <row r="1447" spans="12:13" x14ac:dyDescent="0.2">
      <c r="L1447" s="129"/>
      <c r="M1447" s="132"/>
    </row>
    <row r="1448" spans="12:13" x14ac:dyDescent="0.2">
      <c r="L1448" s="129"/>
      <c r="M1448" s="132"/>
    </row>
    <row r="1449" spans="12:13" x14ac:dyDescent="0.2">
      <c r="L1449" s="129"/>
      <c r="M1449" s="132"/>
    </row>
    <row r="1450" spans="12:13" x14ac:dyDescent="0.2">
      <c r="L1450" s="129"/>
      <c r="M1450" s="132"/>
    </row>
    <row r="1451" spans="12:13" x14ac:dyDescent="0.2">
      <c r="L1451" s="129"/>
      <c r="M1451" s="132"/>
    </row>
    <row r="1452" spans="12:13" x14ac:dyDescent="0.2">
      <c r="L1452" s="129"/>
      <c r="M1452" s="132"/>
    </row>
    <row r="1453" spans="12:13" x14ac:dyDescent="0.2">
      <c r="L1453" s="129"/>
      <c r="M1453" s="132"/>
    </row>
    <row r="1454" spans="12:13" x14ac:dyDescent="0.2">
      <c r="L1454" s="129"/>
      <c r="M1454" s="132"/>
    </row>
    <row r="1455" spans="12:13" x14ac:dyDescent="0.2">
      <c r="L1455" s="129"/>
      <c r="M1455" s="132"/>
    </row>
    <row r="1456" spans="12:13" x14ac:dyDescent="0.2">
      <c r="L1456" s="129"/>
      <c r="M1456" s="132"/>
    </row>
    <row r="1457" spans="12:13" x14ac:dyDescent="0.2">
      <c r="L1457" s="129"/>
      <c r="M1457" s="132"/>
    </row>
    <row r="1458" spans="12:13" x14ac:dyDescent="0.2">
      <c r="L1458" s="129"/>
      <c r="M1458" s="132"/>
    </row>
    <row r="1459" spans="12:13" x14ac:dyDescent="0.2">
      <c r="L1459" s="129"/>
      <c r="M1459" s="132"/>
    </row>
    <row r="1460" spans="12:13" x14ac:dyDescent="0.2">
      <c r="L1460" s="129"/>
      <c r="M1460" s="132"/>
    </row>
    <row r="1461" spans="12:13" x14ac:dyDescent="0.2">
      <c r="L1461" s="129"/>
      <c r="M1461" s="132"/>
    </row>
    <row r="1462" spans="12:13" x14ac:dyDescent="0.2">
      <c r="L1462" s="129"/>
      <c r="M1462" s="132"/>
    </row>
    <row r="1463" spans="12:13" x14ac:dyDescent="0.2">
      <c r="L1463" s="129"/>
      <c r="M1463" s="132"/>
    </row>
    <row r="1464" spans="12:13" x14ac:dyDescent="0.2">
      <c r="L1464" s="129"/>
      <c r="M1464" s="132"/>
    </row>
    <row r="1465" spans="12:13" x14ac:dyDescent="0.2">
      <c r="L1465" s="129"/>
      <c r="M1465" s="132"/>
    </row>
    <row r="1466" spans="12:13" x14ac:dyDescent="0.2">
      <c r="L1466" s="129"/>
      <c r="M1466" s="132"/>
    </row>
    <row r="1467" spans="12:13" x14ac:dyDescent="0.2">
      <c r="L1467" s="129"/>
      <c r="M1467" s="132"/>
    </row>
    <row r="1468" spans="12:13" x14ac:dyDescent="0.2">
      <c r="L1468" s="129"/>
      <c r="M1468" s="132"/>
    </row>
    <row r="1469" spans="12:13" x14ac:dyDescent="0.2">
      <c r="L1469" s="129"/>
      <c r="M1469" s="132"/>
    </row>
    <row r="1470" spans="12:13" x14ac:dyDescent="0.2">
      <c r="L1470" s="129"/>
      <c r="M1470" s="132"/>
    </row>
    <row r="1471" spans="12:13" x14ac:dyDescent="0.2">
      <c r="L1471" s="129"/>
      <c r="M1471" s="132"/>
    </row>
    <row r="1472" spans="12:13" x14ac:dyDescent="0.2">
      <c r="L1472" s="129"/>
      <c r="M1472" s="132"/>
    </row>
    <row r="1473" spans="12:13" x14ac:dyDescent="0.2">
      <c r="L1473" s="129"/>
      <c r="M1473" s="132"/>
    </row>
    <row r="1474" spans="12:13" x14ac:dyDescent="0.2">
      <c r="L1474" s="129"/>
      <c r="M1474" s="132"/>
    </row>
    <row r="1475" spans="12:13" x14ac:dyDescent="0.2">
      <c r="L1475" s="129"/>
      <c r="M1475" s="132"/>
    </row>
    <row r="1476" spans="12:13" x14ac:dyDescent="0.2">
      <c r="L1476" s="129"/>
      <c r="M1476" s="132"/>
    </row>
    <row r="1477" spans="12:13" x14ac:dyDescent="0.2">
      <c r="L1477" s="129"/>
      <c r="M1477" s="132"/>
    </row>
    <row r="1478" spans="12:13" x14ac:dyDescent="0.2">
      <c r="L1478" s="129"/>
      <c r="M1478" s="132"/>
    </row>
    <row r="1479" spans="12:13" x14ac:dyDescent="0.2">
      <c r="L1479" s="129"/>
      <c r="M1479" s="132"/>
    </row>
    <row r="1480" spans="12:13" x14ac:dyDescent="0.2">
      <c r="L1480" s="129"/>
      <c r="M1480" s="132"/>
    </row>
    <row r="1481" spans="12:13" x14ac:dyDescent="0.2">
      <c r="L1481" s="129"/>
      <c r="M1481" s="132"/>
    </row>
    <row r="1482" spans="12:13" x14ac:dyDescent="0.2">
      <c r="L1482" s="129"/>
      <c r="M1482" s="132"/>
    </row>
    <row r="1483" spans="12:13" x14ac:dyDescent="0.2">
      <c r="L1483" s="129"/>
      <c r="M1483" s="132"/>
    </row>
    <row r="1484" spans="12:13" x14ac:dyDescent="0.2">
      <c r="L1484" s="129"/>
      <c r="M1484" s="132"/>
    </row>
    <row r="1485" spans="12:13" x14ac:dyDescent="0.2">
      <c r="L1485" s="129"/>
      <c r="M1485" s="132"/>
    </row>
    <row r="1486" spans="12:13" x14ac:dyDescent="0.2">
      <c r="L1486" s="129"/>
      <c r="M1486" s="132"/>
    </row>
    <row r="1487" spans="12:13" x14ac:dyDescent="0.2">
      <c r="L1487" s="129"/>
      <c r="M1487" s="132"/>
    </row>
    <row r="1488" spans="12:13" x14ac:dyDescent="0.2">
      <c r="L1488" s="129"/>
      <c r="M1488" s="132"/>
    </row>
    <row r="1489" spans="12:13" x14ac:dyDescent="0.2">
      <c r="L1489" s="129"/>
      <c r="M1489" s="132"/>
    </row>
    <row r="1490" spans="12:13" x14ac:dyDescent="0.2">
      <c r="L1490" s="129"/>
      <c r="M1490" s="132"/>
    </row>
    <row r="1491" spans="12:13" x14ac:dyDescent="0.2">
      <c r="L1491" s="129"/>
      <c r="M1491" s="132"/>
    </row>
    <row r="1492" spans="12:13" x14ac:dyDescent="0.2">
      <c r="L1492" s="129"/>
      <c r="M1492" s="132"/>
    </row>
    <row r="1493" spans="12:13" x14ac:dyDescent="0.2">
      <c r="L1493" s="129"/>
      <c r="M1493" s="132"/>
    </row>
    <row r="1494" spans="12:13" x14ac:dyDescent="0.2">
      <c r="L1494" s="129"/>
      <c r="M1494" s="132"/>
    </row>
    <row r="1495" spans="12:13" x14ac:dyDescent="0.2">
      <c r="L1495" s="129"/>
      <c r="M1495" s="132"/>
    </row>
    <row r="1496" spans="12:13" x14ac:dyDescent="0.2">
      <c r="L1496" s="129"/>
      <c r="M1496" s="132"/>
    </row>
    <row r="1497" spans="12:13" x14ac:dyDescent="0.2">
      <c r="L1497" s="129"/>
      <c r="M1497" s="132"/>
    </row>
    <row r="1498" spans="12:13" x14ac:dyDescent="0.2">
      <c r="L1498" s="129"/>
      <c r="M1498" s="132"/>
    </row>
    <row r="1499" spans="12:13" x14ac:dyDescent="0.2">
      <c r="L1499" s="129"/>
      <c r="M1499" s="132"/>
    </row>
    <row r="1500" spans="12:13" x14ac:dyDescent="0.2">
      <c r="L1500" s="129"/>
      <c r="M1500" s="132"/>
    </row>
    <row r="1501" spans="12:13" x14ac:dyDescent="0.2">
      <c r="L1501" s="129"/>
      <c r="M1501" s="132"/>
    </row>
    <row r="1502" spans="12:13" x14ac:dyDescent="0.2">
      <c r="L1502" s="129"/>
      <c r="M1502" s="132"/>
    </row>
    <row r="1503" spans="12:13" x14ac:dyDescent="0.2">
      <c r="L1503" s="129"/>
      <c r="M1503" s="132"/>
    </row>
    <row r="1504" spans="12:13" x14ac:dyDescent="0.2">
      <c r="L1504" s="129"/>
      <c r="M1504" s="132"/>
    </row>
    <row r="1505" spans="12:13" x14ac:dyDescent="0.2">
      <c r="L1505" s="129"/>
      <c r="M1505" s="132"/>
    </row>
    <row r="1506" spans="12:13" x14ac:dyDescent="0.2">
      <c r="L1506" s="129"/>
      <c r="M1506" s="132"/>
    </row>
    <row r="1507" spans="12:13" x14ac:dyDescent="0.2">
      <c r="L1507" s="129"/>
      <c r="M1507" s="132"/>
    </row>
    <row r="1508" spans="12:13" x14ac:dyDescent="0.2">
      <c r="L1508" s="129"/>
      <c r="M1508" s="132"/>
    </row>
    <row r="1509" spans="12:13" x14ac:dyDescent="0.2">
      <c r="L1509" s="129"/>
      <c r="M1509" s="132"/>
    </row>
    <row r="1510" spans="12:13" x14ac:dyDescent="0.2">
      <c r="L1510" s="129"/>
      <c r="M1510" s="132"/>
    </row>
    <row r="1511" spans="12:13" x14ac:dyDescent="0.2">
      <c r="L1511" s="129"/>
      <c r="M1511" s="132"/>
    </row>
    <row r="1512" spans="12:13" x14ac:dyDescent="0.2">
      <c r="L1512" s="129"/>
      <c r="M1512" s="132"/>
    </row>
    <row r="1513" spans="12:13" x14ac:dyDescent="0.2">
      <c r="L1513" s="129"/>
      <c r="M1513" s="132"/>
    </row>
    <row r="1514" spans="12:13" x14ac:dyDescent="0.2">
      <c r="L1514" s="129"/>
      <c r="M1514" s="132"/>
    </row>
    <row r="1515" spans="12:13" x14ac:dyDescent="0.2">
      <c r="L1515" s="129"/>
      <c r="M1515" s="132"/>
    </row>
    <row r="1516" spans="12:13" x14ac:dyDescent="0.2">
      <c r="L1516" s="129"/>
      <c r="M1516" s="132"/>
    </row>
    <row r="1517" spans="12:13" x14ac:dyDescent="0.2">
      <c r="L1517" s="129"/>
      <c r="M1517" s="132"/>
    </row>
    <row r="1518" spans="12:13" x14ac:dyDescent="0.2">
      <c r="L1518" s="129"/>
      <c r="M1518" s="132"/>
    </row>
    <row r="1519" spans="12:13" x14ac:dyDescent="0.2">
      <c r="L1519" s="129"/>
      <c r="M1519" s="132"/>
    </row>
    <row r="1520" spans="12:13" x14ac:dyDescent="0.2">
      <c r="L1520" s="129"/>
      <c r="M1520" s="132"/>
    </row>
    <row r="1521" spans="12:13" x14ac:dyDescent="0.2">
      <c r="L1521" s="129"/>
      <c r="M1521" s="132"/>
    </row>
    <row r="1522" spans="12:13" x14ac:dyDescent="0.2">
      <c r="L1522" s="129"/>
      <c r="M1522" s="132"/>
    </row>
    <row r="1523" spans="12:13" x14ac:dyDescent="0.2">
      <c r="L1523" s="129"/>
      <c r="M1523" s="132"/>
    </row>
    <row r="1524" spans="12:13" x14ac:dyDescent="0.2">
      <c r="L1524" s="129"/>
      <c r="M1524" s="132"/>
    </row>
    <row r="1525" spans="12:13" x14ac:dyDescent="0.2">
      <c r="L1525" s="129"/>
      <c r="M1525" s="132"/>
    </row>
    <row r="1526" spans="12:13" x14ac:dyDescent="0.2">
      <c r="L1526" s="129"/>
      <c r="M1526" s="132"/>
    </row>
    <row r="1527" spans="12:13" x14ac:dyDescent="0.2">
      <c r="L1527" s="129"/>
      <c r="M1527" s="132"/>
    </row>
    <row r="1528" spans="12:13" x14ac:dyDescent="0.2">
      <c r="L1528" s="129"/>
      <c r="M1528" s="132"/>
    </row>
    <row r="1529" spans="12:13" x14ac:dyDescent="0.2">
      <c r="L1529" s="129"/>
      <c r="M1529" s="132"/>
    </row>
    <row r="1530" spans="12:13" x14ac:dyDescent="0.2">
      <c r="L1530" s="129"/>
      <c r="M1530" s="132"/>
    </row>
    <row r="1531" spans="12:13" x14ac:dyDescent="0.2">
      <c r="L1531" s="129"/>
      <c r="M1531" s="132"/>
    </row>
    <row r="1532" spans="12:13" x14ac:dyDescent="0.2">
      <c r="L1532" s="129"/>
      <c r="M1532" s="132"/>
    </row>
    <row r="1533" spans="12:13" x14ac:dyDescent="0.2">
      <c r="L1533" s="129"/>
      <c r="M1533" s="132"/>
    </row>
    <row r="1534" spans="12:13" x14ac:dyDescent="0.2">
      <c r="L1534" s="129"/>
      <c r="M1534" s="132"/>
    </row>
    <row r="1535" spans="12:13" x14ac:dyDescent="0.2">
      <c r="L1535" s="129"/>
      <c r="M1535" s="132"/>
    </row>
    <row r="1536" spans="12:13" x14ac:dyDescent="0.2">
      <c r="L1536" s="129"/>
      <c r="M1536" s="132"/>
    </row>
    <row r="1537" spans="12:13" x14ac:dyDescent="0.2">
      <c r="L1537" s="129"/>
      <c r="M1537" s="132"/>
    </row>
    <row r="1538" spans="12:13" x14ac:dyDescent="0.2">
      <c r="L1538" s="129"/>
      <c r="M1538" s="132"/>
    </row>
    <row r="1539" spans="12:13" x14ac:dyDescent="0.2">
      <c r="L1539" s="129"/>
      <c r="M1539" s="132"/>
    </row>
    <row r="1540" spans="12:13" x14ac:dyDescent="0.2">
      <c r="L1540" s="129"/>
      <c r="M1540" s="132"/>
    </row>
    <row r="1541" spans="12:13" x14ac:dyDescent="0.2">
      <c r="L1541" s="129"/>
      <c r="M1541" s="132"/>
    </row>
    <row r="1542" spans="12:13" x14ac:dyDescent="0.2">
      <c r="L1542" s="129"/>
      <c r="M1542" s="132"/>
    </row>
    <row r="1543" spans="12:13" x14ac:dyDescent="0.2">
      <c r="L1543" s="129"/>
      <c r="M1543" s="132"/>
    </row>
    <row r="1544" spans="12:13" x14ac:dyDescent="0.2">
      <c r="L1544" s="129"/>
      <c r="M1544" s="132"/>
    </row>
    <row r="1545" spans="12:13" x14ac:dyDescent="0.2">
      <c r="L1545" s="129"/>
      <c r="M1545" s="132"/>
    </row>
    <row r="1546" spans="12:13" x14ac:dyDescent="0.2">
      <c r="L1546" s="129"/>
      <c r="M1546" s="132"/>
    </row>
    <row r="1547" spans="12:13" x14ac:dyDescent="0.2">
      <c r="L1547" s="129"/>
      <c r="M1547" s="132"/>
    </row>
    <row r="1548" spans="12:13" x14ac:dyDescent="0.2">
      <c r="L1548" s="129"/>
      <c r="M1548" s="132"/>
    </row>
    <row r="1549" spans="12:13" x14ac:dyDescent="0.2">
      <c r="L1549" s="129"/>
      <c r="M1549" s="132"/>
    </row>
    <row r="1550" spans="12:13" x14ac:dyDescent="0.2">
      <c r="L1550" s="129"/>
      <c r="M1550" s="132"/>
    </row>
    <row r="1551" spans="12:13" x14ac:dyDescent="0.2">
      <c r="L1551" s="129"/>
      <c r="M1551" s="132"/>
    </row>
    <row r="1552" spans="12:13" x14ac:dyDescent="0.2">
      <c r="L1552" s="129"/>
      <c r="M1552" s="132"/>
    </row>
    <row r="1553" spans="12:13" x14ac:dyDescent="0.2">
      <c r="L1553" s="129"/>
      <c r="M1553" s="132"/>
    </row>
    <row r="1554" spans="12:13" x14ac:dyDescent="0.2">
      <c r="L1554" s="129"/>
      <c r="M1554" s="132"/>
    </row>
    <row r="1555" spans="12:13" x14ac:dyDescent="0.2">
      <c r="L1555" s="129"/>
      <c r="M1555" s="132"/>
    </row>
    <row r="1556" spans="12:13" x14ac:dyDescent="0.2">
      <c r="L1556" s="129"/>
      <c r="M1556" s="132"/>
    </row>
    <row r="1557" spans="12:13" x14ac:dyDescent="0.2">
      <c r="L1557" s="129"/>
      <c r="M1557" s="132"/>
    </row>
    <row r="1558" spans="12:13" x14ac:dyDescent="0.2">
      <c r="L1558" s="129"/>
      <c r="M1558" s="132"/>
    </row>
    <row r="1559" spans="12:13" x14ac:dyDescent="0.2">
      <c r="L1559" s="129"/>
      <c r="M1559" s="132"/>
    </row>
    <row r="1560" spans="12:13" x14ac:dyDescent="0.2">
      <c r="L1560" s="129"/>
      <c r="M1560" s="132"/>
    </row>
    <row r="1561" spans="12:13" x14ac:dyDescent="0.2">
      <c r="L1561" s="129"/>
      <c r="M1561" s="132"/>
    </row>
    <row r="1562" spans="12:13" x14ac:dyDescent="0.2">
      <c r="L1562" s="129"/>
      <c r="M1562" s="132"/>
    </row>
    <row r="1563" spans="12:13" x14ac:dyDescent="0.2">
      <c r="L1563" s="129"/>
      <c r="M1563" s="132"/>
    </row>
    <row r="1564" spans="12:13" x14ac:dyDescent="0.2">
      <c r="L1564" s="129"/>
      <c r="M1564" s="132"/>
    </row>
    <row r="1565" spans="12:13" x14ac:dyDescent="0.2">
      <c r="L1565" s="129"/>
      <c r="M1565" s="132"/>
    </row>
    <row r="1566" spans="12:13" x14ac:dyDescent="0.2">
      <c r="L1566" s="129"/>
      <c r="M1566" s="132"/>
    </row>
    <row r="1567" spans="12:13" x14ac:dyDescent="0.2">
      <c r="L1567" s="129"/>
      <c r="M1567" s="132"/>
    </row>
    <row r="1568" spans="12:13" x14ac:dyDescent="0.2">
      <c r="L1568" s="129"/>
      <c r="M1568" s="132"/>
    </row>
    <row r="1569" spans="12:13" x14ac:dyDescent="0.2">
      <c r="L1569" s="129"/>
      <c r="M1569" s="132"/>
    </row>
    <row r="1570" spans="12:13" x14ac:dyDescent="0.2">
      <c r="L1570" s="129"/>
      <c r="M1570" s="132"/>
    </row>
    <row r="1571" spans="12:13" x14ac:dyDescent="0.2">
      <c r="L1571" s="129"/>
      <c r="M1571" s="132"/>
    </row>
    <row r="1572" spans="12:13" x14ac:dyDescent="0.2">
      <c r="L1572" s="129"/>
      <c r="M1572" s="132"/>
    </row>
    <row r="1573" spans="12:13" x14ac:dyDescent="0.2">
      <c r="L1573" s="129"/>
      <c r="M1573" s="132"/>
    </row>
    <row r="1574" spans="12:13" x14ac:dyDescent="0.2">
      <c r="L1574" s="129"/>
      <c r="M1574" s="132"/>
    </row>
    <row r="1575" spans="12:13" x14ac:dyDescent="0.2">
      <c r="L1575" s="129"/>
      <c r="M1575" s="132"/>
    </row>
    <row r="1576" spans="12:13" x14ac:dyDescent="0.2">
      <c r="L1576" s="129"/>
      <c r="M1576" s="132"/>
    </row>
    <row r="1577" spans="12:13" x14ac:dyDescent="0.2">
      <c r="L1577" s="129"/>
      <c r="M1577" s="132"/>
    </row>
    <row r="1578" spans="12:13" x14ac:dyDescent="0.2">
      <c r="L1578" s="129"/>
      <c r="M1578" s="132"/>
    </row>
    <row r="1579" spans="12:13" x14ac:dyDescent="0.2">
      <c r="L1579" s="129"/>
      <c r="M1579" s="132"/>
    </row>
    <row r="1580" spans="12:13" x14ac:dyDescent="0.2">
      <c r="L1580" s="129"/>
      <c r="M1580" s="132"/>
    </row>
    <row r="1581" spans="12:13" x14ac:dyDescent="0.2">
      <c r="L1581" s="129"/>
      <c r="M1581" s="132"/>
    </row>
    <row r="1582" spans="12:13" x14ac:dyDescent="0.2">
      <c r="L1582" s="129"/>
      <c r="M1582" s="132"/>
    </row>
    <row r="1583" spans="12:13" x14ac:dyDescent="0.2">
      <c r="L1583" s="129"/>
      <c r="M1583" s="132"/>
    </row>
    <row r="1584" spans="12:13" x14ac:dyDescent="0.2">
      <c r="L1584" s="129"/>
      <c r="M1584" s="132"/>
    </row>
    <row r="1585" spans="12:13" x14ac:dyDescent="0.2">
      <c r="L1585" s="129"/>
      <c r="M1585" s="132"/>
    </row>
    <row r="1586" spans="12:13" x14ac:dyDescent="0.2">
      <c r="L1586" s="129"/>
      <c r="M1586" s="132"/>
    </row>
    <row r="1587" spans="12:13" x14ac:dyDescent="0.2">
      <c r="L1587" s="129"/>
      <c r="M1587" s="132"/>
    </row>
    <row r="1588" spans="12:13" x14ac:dyDescent="0.2">
      <c r="L1588" s="129"/>
      <c r="M1588" s="132"/>
    </row>
    <row r="1589" spans="12:13" x14ac:dyDescent="0.2">
      <c r="L1589" s="129"/>
      <c r="M1589" s="132"/>
    </row>
    <row r="1590" spans="12:13" x14ac:dyDescent="0.2">
      <c r="L1590" s="129"/>
      <c r="M1590" s="132"/>
    </row>
    <row r="1591" spans="12:13" x14ac:dyDescent="0.2">
      <c r="L1591" s="129"/>
      <c r="M1591" s="132"/>
    </row>
    <row r="1592" spans="12:13" x14ac:dyDescent="0.2">
      <c r="L1592" s="129"/>
      <c r="M1592" s="132"/>
    </row>
    <row r="1593" spans="12:13" x14ac:dyDescent="0.2">
      <c r="L1593" s="129"/>
      <c r="M1593" s="132"/>
    </row>
    <row r="1594" spans="12:13" x14ac:dyDescent="0.2">
      <c r="L1594" s="129"/>
      <c r="M1594" s="132"/>
    </row>
    <row r="1595" spans="12:13" x14ac:dyDescent="0.2">
      <c r="L1595" s="129"/>
      <c r="M1595" s="132"/>
    </row>
    <row r="1596" spans="12:13" x14ac:dyDescent="0.2">
      <c r="L1596" s="129"/>
      <c r="M1596" s="132"/>
    </row>
    <row r="1597" spans="12:13" x14ac:dyDescent="0.2">
      <c r="L1597" s="129"/>
      <c r="M1597" s="132"/>
    </row>
    <row r="1598" spans="12:13" x14ac:dyDescent="0.2">
      <c r="L1598" s="129"/>
      <c r="M1598" s="132"/>
    </row>
    <row r="1599" spans="12:13" x14ac:dyDescent="0.2">
      <c r="L1599" s="129"/>
      <c r="M1599" s="132"/>
    </row>
    <row r="1600" spans="12:13" x14ac:dyDescent="0.2">
      <c r="L1600" s="129"/>
      <c r="M1600" s="132"/>
    </row>
    <row r="1601" spans="12:13" x14ac:dyDescent="0.2">
      <c r="L1601" s="129"/>
      <c r="M1601" s="132"/>
    </row>
    <row r="1602" spans="12:13" x14ac:dyDescent="0.2">
      <c r="L1602" s="129"/>
      <c r="M1602" s="132"/>
    </row>
    <row r="1603" spans="12:13" x14ac:dyDescent="0.2">
      <c r="L1603" s="129"/>
      <c r="M1603" s="132"/>
    </row>
    <row r="1604" spans="12:13" x14ac:dyDescent="0.2">
      <c r="L1604" s="129"/>
      <c r="M1604" s="132"/>
    </row>
    <row r="1605" spans="12:13" x14ac:dyDescent="0.2">
      <c r="L1605" s="129"/>
      <c r="M1605" s="132"/>
    </row>
    <row r="1606" spans="12:13" x14ac:dyDescent="0.2">
      <c r="L1606" s="129"/>
      <c r="M1606" s="132"/>
    </row>
    <row r="1607" spans="12:13" x14ac:dyDescent="0.2">
      <c r="L1607" s="129"/>
      <c r="M1607" s="132"/>
    </row>
    <row r="1608" spans="12:13" x14ac:dyDescent="0.2">
      <c r="L1608" s="129"/>
      <c r="M1608" s="132"/>
    </row>
    <row r="1609" spans="12:13" x14ac:dyDescent="0.2">
      <c r="L1609" s="129"/>
      <c r="M1609" s="132"/>
    </row>
    <row r="1610" spans="12:13" x14ac:dyDescent="0.2">
      <c r="L1610" s="129"/>
      <c r="M1610" s="132"/>
    </row>
    <row r="1611" spans="12:13" x14ac:dyDescent="0.2">
      <c r="L1611" s="129"/>
      <c r="M1611" s="132"/>
    </row>
    <row r="1612" spans="12:13" x14ac:dyDescent="0.2">
      <c r="L1612" s="129"/>
      <c r="M1612" s="132"/>
    </row>
    <row r="1613" spans="12:13" x14ac:dyDescent="0.2">
      <c r="L1613" s="129"/>
      <c r="M1613" s="132"/>
    </row>
    <row r="1614" spans="12:13" x14ac:dyDescent="0.2">
      <c r="L1614" s="129"/>
      <c r="M1614" s="132"/>
    </row>
    <row r="1615" spans="12:13" x14ac:dyDescent="0.2">
      <c r="L1615" s="129"/>
      <c r="M1615" s="132"/>
    </row>
    <row r="1616" spans="12:13" x14ac:dyDescent="0.2">
      <c r="L1616" s="129"/>
      <c r="M1616" s="132"/>
    </row>
    <row r="1617" spans="12:13" x14ac:dyDescent="0.2">
      <c r="L1617" s="129"/>
      <c r="M1617" s="132"/>
    </row>
    <row r="1618" spans="12:13" x14ac:dyDescent="0.2">
      <c r="L1618" s="129"/>
      <c r="M1618" s="132"/>
    </row>
    <row r="1619" spans="12:13" x14ac:dyDescent="0.2">
      <c r="L1619" s="129"/>
      <c r="M1619" s="132"/>
    </row>
    <row r="1620" spans="12:13" x14ac:dyDescent="0.2">
      <c r="L1620" s="129"/>
      <c r="M1620" s="132"/>
    </row>
    <row r="1621" spans="12:13" x14ac:dyDescent="0.2">
      <c r="L1621" s="129"/>
      <c r="M1621" s="132"/>
    </row>
    <row r="1622" spans="12:13" x14ac:dyDescent="0.2">
      <c r="L1622" s="129"/>
      <c r="M1622" s="132"/>
    </row>
    <row r="1623" spans="12:13" x14ac:dyDescent="0.2">
      <c r="L1623" s="129"/>
      <c r="M1623" s="132"/>
    </row>
    <row r="1624" spans="12:13" x14ac:dyDescent="0.2">
      <c r="L1624" s="129"/>
      <c r="M1624" s="132"/>
    </row>
    <row r="1625" spans="12:13" x14ac:dyDescent="0.2">
      <c r="L1625" s="129"/>
      <c r="M1625" s="132"/>
    </row>
    <row r="1626" spans="12:13" x14ac:dyDescent="0.2">
      <c r="L1626" s="129"/>
      <c r="M1626" s="132"/>
    </row>
    <row r="1627" spans="12:13" x14ac:dyDescent="0.2">
      <c r="L1627" s="129"/>
      <c r="M1627" s="132"/>
    </row>
    <row r="1628" spans="12:13" x14ac:dyDescent="0.2">
      <c r="L1628" s="129"/>
      <c r="M1628" s="132"/>
    </row>
    <row r="1629" spans="12:13" x14ac:dyDescent="0.2">
      <c r="L1629" s="129"/>
      <c r="M1629" s="132"/>
    </row>
    <row r="1630" spans="12:13" x14ac:dyDescent="0.2">
      <c r="L1630" s="129"/>
      <c r="M1630" s="132"/>
    </row>
    <row r="1631" spans="12:13" x14ac:dyDescent="0.2">
      <c r="L1631" s="129"/>
      <c r="M1631" s="132"/>
    </row>
    <row r="1632" spans="12:13" x14ac:dyDescent="0.2">
      <c r="L1632" s="129"/>
      <c r="M1632" s="132"/>
    </row>
    <row r="1633" spans="12:13" x14ac:dyDescent="0.2">
      <c r="L1633" s="129"/>
      <c r="M1633" s="132"/>
    </row>
    <row r="1634" spans="12:13" x14ac:dyDescent="0.2">
      <c r="L1634" s="129"/>
      <c r="M1634" s="132"/>
    </row>
    <row r="1635" spans="12:13" x14ac:dyDescent="0.2">
      <c r="L1635" s="129"/>
      <c r="M1635" s="132"/>
    </row>
    <row r="1636" spans="12:13" x14ac:dyDescent="0.2">
      <c r="L1636" s="129"/>
      <c r="M1636" s="132"/>
    </row>
    <row r="1637" spans="12:13" x14ac:dyDescent="0.2">
      <c r="L1637" s="129"/>
      <c r="M1637" s="132"/>
    </row>
    <row r="1638" spans="12:13" x14ac:dyDescent="0.2">
      <c r="L1638" s="129"/>
      <c r="M1638" s="132"/>
    </row>
    <row r="1639" spans="12:13" x14ac:dyDescent="0.2">
      <c r="L1639" s="129"/>
      <c r="M1639" s="132"/>
    </row>
    <row r="1640" spans="12:13" x14ac:dyDescent="0.2">
      <c r="L1640" s="129"/>
      <c r="M1640" s="132"/>
    </row>
    <row r="1641" spans="12:13" x14ac:dyDescent="0.2">
      <c r="L1641" s="129"/>
      <c r="M1641" s="132"/>
    </row>
    <row r="1642" spans="12:13" x14ac:dyDescent="0.2">
      <c r="L1642" s="129"/>
      <c r="M1642" s="132"/>
    </row>
    <row r="1643" spans="12:13" x14ac:dyDescent="0.2">
      <c r="L1643" s="129"/>
      <c r="M1643" s="132"/>
    </row>
    <row r="1644" spans="12:13" x14ac:dyDescent="0.2">
      <c r="L1644" s="129"/>
      <c r="M1644" s="132"/>
    </row>
    <row r="1645" spans="12:13" x14ac:dyDescent="0.2">
      <c r="L1645" s="129"/>
      <c r="M1645" s="132"/>
    </row>
    <row r="1646" spans="12:13" x14ac:dyDescent="0.2">
      <c r="L1646" s="129"/>
      <c r="M1646" s="132"/>
    </row>
    <row r="1647" spans="12:13" x14ac:dyDescent="0.2">
      <c r="L1647" s="129"/>
      <c r="M1647" s="132"/>
    </row>
    <row r="1648" spans="12:13" x14ac:dyDescent="0.2">
      <c r="L1648" s="129"/>
      <c r="M1648" s="132"/>
    </row>
    <row r="1649" spans="12:13" x14ac:dyDescent="0.2">
      <c r="L1649" s="129"/>
      <c r="M1649" s="132"/>
    </row>
    <row r="1650" spans="12:13" x14ac:dyDescent="0.2">
      <c r="L1650" s="129"/>
      <c r="M1650" s="132"/>
    </row>
    <row r="1651" spans="12:13" x14ac:dyDescent="0.2">
      <c r="L1651" s="129"/>
      <c r="M1651" s="132"/>
    </row>
    <row r="1652" spans="12:13" x14ac:dyDescent="0.2">
      <c r="L1652" s="129"/>
      <c r="M1652" s="132"/>
    </row>
    <row r="1653" spans="12:13" x14ac:dyDescent="0.2">
      <c r="L1653" s="129"/>
      <c r="M1653" s="132"/>
    </row>
    <row r="1654" spans="12:13" x14ac:dyDescent="0.2">
      <c r="L1654" s="129"/>
      <c r="M1654" s="132"/>
    </row>
    <row r="1655" spans="12:13" x14ac:dyDescent="0.2">
      <c r="L1655" s="129"/>
      <c r="M1655" s="132"/>
    </row>
    <row r="1656" spans="12:13" x14ac:dyDescent="0.2">
      <c r="L1656" s="129"/>
      <c r="M1656" s="132"/>
    </row>
    <row r="1657" spans="12:13" x14ac:dyDescent="0.2">
      <c r="L1657" s="129"/>
      <c r="M1657" s="132"/>
    </row>
    <row r="1658" spans="12:13" x14ac:dyDescent="0.2">
      <c r="L1658" s="129"/>
      <c r="M1658" s="132"/>
    </row>
    <row r="1659" spans="12:13" x14ac:dyDescent="0.2">
      <c r="L1659" s="129"/>
      <c r="M1659" s="132"/>
    </row>
    <row r="1660" spans="12:13" x14ac:dyDescent="0.2">
      <c r="L1660" s="129"/>
      <c r="M1660" s="132"/>
    </row>
    <row r="1661" spans="12:13" x14ac:dyDescent="0.2">
      <c r="L1661" s="129"/>
      <c r="M1661" s="132"/>
    </row>
    <row r="1662" spans="12:13" x14ac:dyDescent="0.2">
      <c r="L1662" s="129"/>
      <c r="M1662" s="132"/>
    </row>
    <row r="1663" spans="12:13" x14ac:dyDescent="0.2">
      <c r="L1663" s="129"/>
      <c r="M1663" s="132"/>
    </row>
    <row r="1664" spans="12:13" x14ac:dyDescent="0.2">
      <c r="L1664" s="129"/>
      <c r="M1664" s="132"/>
    </row>
    <row r="1665" spans="12:13" x14ac:dyDescent="0.2">
      <c r="L1665" s="129"/>
      <c r="M1665" s="132"/>
    </row>
    <row r="1666" spans="12:13" x14ac:dyDescent="0.2">
      <c r="L1666" s="129"/>
      <c r="M1666" s="132"/>
    </row>
    <row r="1667" spans="12:13" x14ac:dyDescent="0.2">
      <c r="L1667" s="129"/>
      <c r="M1667" s="132"/>
    </row>
    <row r="1668" spans="12:13" x14ac:dyDescent="0.2">
      <c r="L1668" s="129"/>
      <c r="M1668" s="132"/>
    </row>
    <row r="1669" spans="12:13" x14ac:dyDescent="0.2">
      <c r="L1669" s="129"/>
      <c r="M1669" s="132"/>
    </row>
    <row r="1670" spans="12:13" x14ac:dyDescent="0.2">
      <c r="L1670" s="129"/>
      <c r="M1670" s="132"/>
    </row>
    <row r="1671" spans="12:13" x14ac:dyDescent="0.2">
      <c r="L1671" s="129"/>
      <c r="M1671" s="132"/>
    </row>
    <row r="1672" spans="12:13" x14ac:dyDescent="0.2">
      <c r="L1672" s="129"/>
      <c r="M1672" s="132"/>
    </row>
    <row r="1673" spans="12:13" x14ac:dyDescent="0.2">
      <c r="L1673" s="129"/>
      <c r="M1673" s="132"/>
    </row>
    <row r="1674" spans="12:13" x14ac:dyDescent="0.2">
      <c r="L1674" s="129"/>
      <c r="M1674" s="132"/>
    </row>
    <row r="1675" spans="12:13" x14ac:dyDescent="0.2">
      <c r="L1675" s="129"/>
      <c r="M1675" s="132"/>
    </row>
    <row r="1676" spans="12:13" x14ac:dyDescent="0.2">
      <c r="L1676" s="129"/>
      <c r="M1676" s="132"/>
    </row>
    <row r="1677" spans="12:13" x14ac:dyDescent="0.2">
      <c r="L1677" s="129"/>
      <c r="M1677" s="132"/>
    </row>
    <row r="1678" spans="12:13" x14ac:dyDescent="0.2">
      <c r="L1678" s="129"/>
      <c r="M1678" s="132"/>
    </row>
    <row r="1679" spans="12:13" x14ac:dyDescent="0.2">
      <c r="L1679" s="129"/>
      <c r="M1679" s="132"/>
    </row>
    <row r="1680" spans="12:13" x14ac:dyDescent="0.2">
      <c r="L1680" s="129"/>
      <c r="M1680" s="132"/>
    </row>
    <row r="1681" spans="12:13" x14ac:dyDescent="0.2">
      <c r="L1681" s="129"/>
      <c r="M1681" s="132"/>
    </row>
    <row r="1682" spans="12:13" x14ac:dyDescent="0.2">
      <c r="L1682" s="129"/>
      <c r="M1682" s="132"/>
    </row>
    <row r="1683" spans="12:13" x14ac:dyDescent="0.2">
      <c r="L1683" s="129"/>
      <c r="M1683" s="132"/>
    </row>
    <row r="1684" spans="12:13" x14ac:dyDescent="0.2">
      <c r="L1684" s="129"/>
      <c r="M1684" s="132"/>
    </row>
    <row r="1685" spans="12:13" x14ac:dyDescent="0.2">
      <c r="L1685" s="129"/>
      <c r="M1685" s="132"/>
    </row>
    <row r="1686" spans="12:13" x14ac:dyDescent="0.2">
      <c r="L1686" s="129"/>
      <c r="M1686" s="132"/>
    </row>
    <row r="1687" spans="12:13" x14ac:dyDescent="0.2">
      <c r="L1687" s="129"/>
      <c r="M1687" s="132"/>
    </row>
    <row r="1688" spans="12:13" x14ac:dyDescent="0.2">
      <c r="L1688" s="129"/>
      <c r="M1688" s="132"/>
    </row>
    <row r="1689" spans="12:13" x14ac:dyDescent="0.2">
      <c r="L1689" s="129"/>
      <c r="M1689" s="132"/>
    </row>
    <row r="1690" spans="12:13" x14ac:dyDescent="0.2">
      <c r="L1690" s="129"/>
      <c r="M1690" s="132"/>
    </row>
    <row r="1691" spans="12:13" x14ac:dyDescent="0.2">
      <c r="L1691" s="129"/>
      <c r="M1691" s="132"/>
    </row>
    <row r="1692" spans="12:13" x14ac:dyDescent="0.2">
      <c r="L1692" s="129"/>
      <c r="M1692" s="132"/>
    </row>
    <row r="1693" spans="12:13" x14ac:dyDescent="0.2">
      <c r="L1693" s="129"/>
      <c r="M1693" s="132"/>
    </row>
    <row r="1694" spans="12:13" x14ac:dyDescent="0.2">
      <c r="L1694" s="129"/>
      <c r="M1694" s="132"/>
    </row>
    <row r="1695" spans="12:13" x14ac:dyDescent="0.2">
      <c r="L1695" s="129"/>
      <c r="M1695" s="132"/>
    </row>
    <row r="1696" spans="12:13" x14ac:dyDescent="0.2">
      <c r="L1696" s="129"/>
      <c r="M1696" s="132"/>
    </row>
    <row r="1697" spans="12:13" x14ac:dyDescent="0.2">
      <c r="L1697" s="129"/>
      <c r="M1697" s="132"/>
    </row>
    <row r="1698" spans="12:13" x14ac:dyDescent="0.2">
      <c r="L1698" s="129"/>
      <c r="M1698" s="132"/>
    </row>
    <row r="1699" spans="12:13" x14ac:dyDescent="0.2">
      <c r="L1699" s="129"/>
      <c r="M1699" s="132"/>
    </row>
    <row r="1700" spans="12:13" x14ac:dyDescent="0.2">
      <c r="L1700" s="129"/>
      <c r="M1700" s="132"/>
    </row>
    <row r="1701" spans="12:13" x14ac:dyDescent="0.2">
      <c r="L1701" s="129"/>
      <c r="M1701" s="132"/>
    </row>
    <row r="1702" spans="12:13" x14ac:dyDescent="0.2">
      <c r="L1702" s="129"/>
      <c r="M1702" s="132"/>
    </row>
    <row r="1703" spans="12:13" x14ac:dyDescent="0.2">
      <c r="L1703" s="129"/>
      <c r="M1703" s="132"/>
    </row>
    <row r="1704" spans="12:13" x14ac:dyDescent="0.2">
      <c r="L1704" s="129"/>
      <c r="M1704" s="132"/>
    </row>
    <row r="1705" spans="12:13" x14ac:dyDescent="0.2">
      <c r="L1705" s="129"/>
      <c r="M1705" s="132"/>
    </row>
    <row r="1706" spans="12:13" x14ac:dyDescent="0.2">
      <c r="L1706" s="129"/>
      <c r="M1706" s="132"/>
    </row>
    <row r="1707" spans="12:13" x14ac:dyDescent="0.2">
      <c r="L1707" s="129"/>
      <c r="M1707" s="132"/>
    </row>
    <row r="1708" spans="12:13" x14ac:dyDescent="0.2">
      <c r="L1708" s="129"/>
      <c r="M1708" s="132"/>
    </row>
    <row r="1709" spans="12:13" x14ac:dyDescent="0.2">
      <c r="L1709" s="129"/>
      <c r="M1709" s="132"/>
    </row>
    <row r="1710" spans="12:13" x14ac:dyDescent="0.2">
      <c r="L1710" s="129"/>
      <c r="M1710" s="132"/>
    </row>
    <row r="1711" spans="12:13" x14ac:dyDescent="0.2">
      <c r="L1711" s="129"/>
      <c r="M1711" s="132"/>
    </row>
    <row r="1712" spans="12:13" x14ac:dyDescent="0.2">
      <c r="L1712" s="129"/>
      <c r="M1712" s="132"/>
    </row>
    <row r="1713" spans="12:13" x14ac:dyDescent="0.2">
      <c r="L1713" s="129"/>
      <c r="M1713" s="132"/>
    </row>
    <row r="1714" spans="12:13" x14ac:dyDescent="0.2">
      <c r="L1714" s="129"/>
      <c r="M1714" s="132"/>
    </row>
    <row r="1715" spans="12:13" x14ac:dyDescent="0.2">
      <c r="L1715" s="129"/>
      <c r="M1715" s="132"/>
    </row>
    <row r="1716" spans="12:13" x14ac:dyDescent="0.2">
      <c r="L1716" s="129"/>
      <c r="M1716" s="132"/>
    </row>
    <row r="1717" spans="12:13" x14ac:dyDescent="0.2">
      <c r="L1717" s="129"/>
      <c r="M1717" s="132"/>
    </row>
    <row r="1718" spans="12:13" x14ac:dyDescent="0.2">
      <c r="L1718" s="129"/>
      <c r="M1718" s="132"/>
    </row>
    <row r="1719" spans="12:13" x14ac:dyDescent="0.2">
      <c r="L1719" s="129"/>
      <c r="M1719" s="132"/>
    </row>
    <row r="1720" spans="12:13" x14ac:dyDescent="0.2">
      <c r="L1720" s="129"/>
      <c r="M1720" s="132"/>
    </row>
    <row r="1721" spans="12:13" x14ac:dyDescent="0.2">
      <c r="L1721" s="129"/>
      <c r="M1721" s="132"/>
    </row>
    <row r="1722" spans="12:13" x14ac:dyDescent="0.2">
      <c r="L1722" s="129"/>
      <c r="M1722" s="132"/>
    </row>
    <row r="1723" spans="12:13" x14ac:dyDescent="0.2">
      <c r="L1723" s="129"/>
      <c r="M1723" s="132"/>
    </row>
    <row r="1724" spans="12:13" x14ac:dyDescent="0.2">
      <c r="L1724" s="129"/>
      <c r="M1724" s="132"/>
    </row>
    <row r="1725" spans="12:13" x14ac:dyDescent="0.2">
      <c r="L1725" s="129"/>
      <c r="M1725" s="132"/>
    </row>
    <row r="1726" spans="12:13" x14ac:dyDescent="0.2">
      <c r="L1726" s="129"/>
      <c r="M1726" s="132"/>
    </row>
    <row r="1727" spans="12:13" x14ac:dyDescent="0.2">
      <c r="L1727" s="129"/>
      <c r="M1727" s="132"/>
    </row>
    <row r="1728" spans="12:13" x14ac:dyDescent="0.2">
      <c r="L1728" s="129"/>
      <c r="M1728" s="132"/>
    </row>
    <row r="1729" spans="12:13" x14ac:dyDescent="0.2">
      <c r="L1729" s="129"/>
      <c r="M1729" s="132"/>
    </row>
    <row r="1730" spans="12:13" x14ac:dyDescent="0.2">
      <c r="L1730" s="129"/>
      <c r="M1730" s="132"/>
    </row>
    <row r="1731" spans="12:13" x14ac:dyDescent="0.2">
      <c r="L1731" s="129"/>
      <c r="M1731" s="132"/>
    </row>
    <row r="1732" spans="12:13" x14ac:dyDescent="0.2">
      <c r="L1732" s="129"/>
      <c r="M1732" s="132"/>
    </row>
    <row r="1733" spans="12:13" x14ac:dyDescent="0.2">
      <c r="L1733" s="129"/>
      <c r="M1733" s="132"/>
    </row>
    <row r="1734" spans="12:13" x14ac:dyDescent="0.2">
      <c r="L1734" s="129"/>
      <c r="M1734" s="132"/>
    </row>
    <row r="1735" spans="12:13" x14ac:dyDescent="0.2">
      <c r="L1735" s="129"/>
      <c r="M1735" s="132"/>
    </row>
    <row r="1736" spans="12:13" x14ac:dyDescent="0.2">
      <c r="L1736" s="129"/>
      <c r="M1736" s="132"/>
    </row>
    <row r="1737" spans="12:13" x14ac:dyDescent="0.2">
      <c r="L1737" s="129"/>
      <c r="M1737" s="132"/>
    </row>
    <row r="1738" spans="12:13" x14ac:dyDescent="0.2">
      <c r="L1738" s="129"/>
      <c r="M1738" s="132"/>
    </row>
    <row r="1739" spans="12:13" x14ac:dyDescent="0.2">
      <c r="L1739" s="129"/>
      <c r="M1739" s="132"/>
    </row>
    <row r="1740" spans="12:13" x14ac:dyDescent="0.2">
      <c r="L1740" s="129"/>
      <c r="M1740" s="132"/>
    </row>
    <row r="1741" spans="12:13" x14ac:dyDescent="0.2">
      <c r="L1741" s="129"/>
      <c r="M1741" s="132"/>
    </row>
    <row r="1742" spans="12:13" x14ac:dyDescent="0.2">
      <c r="L1742" s="129"/>
      <c r="M1742" s="132"/>
    </row>
    <row r="1743" spans="12:13" x14ac:dyDescent="0.2">
      <c r="L1743" s="129"/>
      <c r="M1743" s="132"/>
    </row>
    <row r="1744" spans="12:13" x14ac:dyDescent="0.2">
      <c r="L1744" s="129"/>
      <c r="M1744" s="132"/>
    </row>
    <row r="1745" spans="12:13" x14ac:dyDescent="0.2">
      <c r="L1745" s="129"/>
      <c r="M1745" s="132"/>
    </row>
    <row r="1746" spans="12:13" x14ac:dyDescent="0.2">
      <c r="L1746" s="129"/>
      <c r="M1746" s="132"/>
    </row>
    <row r="1747" spans="12:13" x14ac:dyDescent="0.2">
      <c r="L1747" s="129"/>
      <c r="M1747" s="132"/>
    </row>
    <row r="1748" spans="12:13" x14ac:dyDescent="0.2">
      <c r="L1748" s="129"/>
      <c r="M1748" s="132"/>
    </row>
    <row r="1749" spans="12:13" x14ac:dyDescent="0.2">
      <c r="L1749" s="129"/>
      <c r="M1749" s="132"/>
    </row>
    <row r="1750" spans="12:13" x14ac:dyDescent="0.2">
      <c r="L1750" s="129"/>
      <c r="M1750" s="132"/>
    </row>
    <row r="1751" spans="12:13" x14ac:dyDescent="0.2">
      <c r="L1751" s="129"/>
      <c r="M1751" s="132"/>
    </row>
    <row r="1752" spans="12:13" x14ac:dyDescent="0.2">
      <c r="L1752" s="129"/>
      <c r="M1752" s="132"/>
    </row>
    <row r="1753" spans="12:13" x14ac:dyDescent="0.2">
      <c r="L1753" s="129"/>
      <c r="M1753" s="132"/>
    </row>
    <row r="1754" spans="12:13" x14ac:dyDescent="0.2">
      <c r="L1754" s="129"/>
      <c r="M1754" s="132"/>
    </row>
    <row r="1755" spans="12:13" x14ac:dyDescent="0.2">
      <c r="L1755" s="129"/>
      <c r="M1755" s="132"/>
    </row>
    <row r="1756" spans="12:13" x14ac:dyDescent="0.2">
      <c r="L1756" s="129"/>
      <c r="M1756" s="132"/>
    </row>
    <row r="1757" spans="12:13" x14ac:dyDescent="0.2">
      <c r="L1757" s="129"/>
      <c r="M1757" s="132"/>
    </row>
    <row r="1758" spans="12:13" x14ac:dyDescent="0.2">
      <c r="L1758" s="129"/>
      <c r="M1758" s="132"/>
    </row>
    <row r="1759" spans="12:13" x14ac:dyDescent="0.2">
      <c r="L1759" s="129"/>
      <c r="M1759" s="132"/>
    </row>
    <row r="1760" spans="12:13" x14ac:dyDescent="0.2">
      <c r="L1760" s="129"/>
      <c r="M1760" s="132"/>
    </row>
    <row r="1761" spans="12:13" x14ac:dyDescent="0.2">
      <c r="L1761" s="129"/>
      <c r="M1761" s="132"/>
    </row>
    <row r="1762" spans="12:13" x14ac:dyDescent="0.2">
      <c r="L1762" s="129"/>
      <c r="M1762" s="132"/>
    </row>
    <row r="1763" spans="12:13" x14ac:dyDescent="0.2">
      <c r="L1763" s="129"/>
      <c r="M1763" s="132"/>
    </row>
    <row r="1764" spans="12:13" x14ac:dyDescent="0.2">
      <c r="L1764" s="129"/>
      <c r="M1764" s="132"/>
    </row>
    <row r="1765" spans="12:13" x14ac:dyDescent="0.2">
      <c r="L1765" s="129"/>
      <c r="M1765" s="132"/>
    </row>
    <row r="1766" spans="12:13" x14ac:dyDescent="0.2">
      <c r="L1766" s="129"/>
      <c r="M1766" s="132"/>
    </row>
    <row r="1767" spans="12:13" x14ac:dyDescent="0.2">
      <c r="L1767" s="129"/>
      <c r="M1767" s="132"/>
    </row>
    <row r="1768" spans="12:13" x14ac:dyDescent="0.2">
      <c r="L1768" s="129"/>
      <c r="M1768" s="132"/>
    </row>
    <row r="1769" spans="12:13" x14ac:dyDescent="0.2">
      <c r="L1769" s="129"/>
      <c r="M1769" s="132"/>
    </row>
    <row r="1770" spans="12:13" x14ac:dyDescent="0.2">
      <c r="L1770" s="129"/>
      <c r="M1770" s="132"/>
    </row>
    <row r="1771" spans="12:13" x14ac:dyDescent="0.2">
      <c r="L1771" s="129"/>
      <c r="M1771" s="132"/>
    </row>
    <row r="1772" spans="12:13" x14ac:dyDescent="0.2">
      <c r="L1772" s="129"/>
      <c r="M1772" s="132"/>
    </row>
    <row r="1773" spans="12:13" x14ac:dyDescent="0.2">
      <c r="L1773" s="129"/>
      <c r="M1773" s="132"/>
    </row>
    <row r="1774" spans="12:13" x14ac:dyDescent="0.2">
      <c r="L1774" s="129"/>
      <c r="M1774" s="132"/>
    </row>
    <row r="1775" spans="12:13" x14ac:dyDescent="0.2">
      <c r="L1775" s="129"/>
      <c r="M1775" s="132"/>
    </row>
    <row r="1776" spans="12:13" x14ac:dyDescent="0.2">
      <c r="L1776" s="129"/>
      <c r="M1776" s="132"/>
    </row>
    <row r="1777" spans="12:13" x14ac:dyDescent="0.2">
      <c r="L1777" s="129"/>
      <c r="M1777" s="132"/>
    </row>
    <row r="1778" spans="12:13" x14ac:dyDescent="0.2">
      <c r="L1778" s="129"/>
      <c r="M1778" s="132"/>
    </row>
    <row r="1779" spans="12:13" x14ac:dyDescent="0.2">
      <c r="L1779" s="129"/>
      <c r="M1779" s="132"/>
    </row>
    <row r="1780" spans="12:13" x14ac:dyDescent="0.2">
      <c r="L1780" s="129"/>
      <c r="M1780" s="132"/>
    </row>
    <row r="1781" spans="12:13" x14ac:dyDescent="0.2">
      <c r="L1781" s="129"/>
      <c r="M1781" s="132"/>
    </row>
    <row r="1782" spans="12:13" x14ac:dyDescent="0.2">
      <c r="L1782" s="129"/>
      <c r="M1782" s="132"/>
    </row>
    <row r="1783" spans="12:13" x14ac:dyDescent="0.2">
      <c r="L1783" s="129"/>
      <c r="M1783" s="132"/>
    </row>
    <row r="1784" spans="12:13" x14ac:dyDescent="0.2">
      <c r="L1784" s="129"/>
      <c r="M1784" s="132"/>
    </row>
    <row r="1785" spans="12:13" x14ac:dyDescent="0.2">
      <c r="L1785" s="129"/>
      <c r="M1785" s="132"/>
    </row>
    <row r="1786" spans="12:13" x14ac:dyDescent="0.2">
      <c r="L1786" s="129"/>
      <c r="M1786" s="132"/>
    </row>
    <row r="1787" spans="12:13" x14ac:dyDescent="0.2">
      <c r="L1787" s="129"/>
      <c r="M1787" s="132"/>
    </row>
    <row r="1788" spans="12:13" x14ac:dyDescent="0.2">
      <c r="L1788" s="129"/>
      <c r="M1788" s="132"/>
    </row>
    <row r="1789" spans="12:13" x14ac:dyDescent="0.2">
      <c r="L1789" s="129"/>
      <c r="M1789" s="132"/>
    </row>
    <row r="1790" spans="12:13" x14ac:dyDescent="0.2">
      <c r="L1790" s="129"/>
      <c r="M1790" s="132"/>
    </row>
    <row r="1791" spans="12:13" x14ac:dyDescent="0.2">
      <c r="L1791" s="129"/>
      <c r="M1791" s="132"/>
    </row>
    <row r="1792" spans="12:13" x14ac:dyDescent="0.2">
      <c r="L1792" s="129"/>
      <c r="M1792" s="132"/>
    </row>
    <row r="1793" spans="12:13" x14ac:dyDescent="0.2">
      <c r="L1793" s="129"/>
      <c r="M1793" s="132"/>
    </row>
    <row r="1794" spans="12:13" x14ac:dyDescent="0.2">
      <c r="L1794" s="129"/>
      <c r="M1794" s="132"/>
    </row>
    <row r="1795" spans="12:13" x14ac:dyDescent="0.2">
      <c r="L1795" s="129"/>
      <c r="M1795" s="132"/>
    </row>
    <row r="1796" spans="12:13" x14ac:dyDescent="0.2">
      <c r="L1796" s="129"/>
      <c r="M1796" s="132"/>
    </row>
    <row r="1797" spans="12:13" x14ac:dyDescent="0.2">
      <c r="L1797" s="129"/>
      <c r="M1797" s="132"/>
    </row>
    <row r="1798" spans="12:13" x14ac:dyDescent="0.2">
      <c r="L1798" s="129"/>
      <c r="M1798" s="132"/>
    </row>
    <row r="1799" spans="12:13" x14ac:dyDescent="0.2">
      <c r="L1799" s="129"/>
      <c r="M1799" s="132"/>
    </row>
    <row r="1800" spans="12:13" x14ac:dyDescent="0.2">
      <c r="L1800" s="129"/>
      <c r="M1800" s="132"/>
    </row>
    <row r="1801" spans="12:13" x14ac:dyDescent="0.2">
      <c r="L1801" s="129"/>
      <c r="M1801" s="132"/>
    </row>
    <row r="1802" spans="12:13" x14ac:dyDescent="0.2">
      <c r="L1802" s="129"/>
      <c r="M1802" s="132"/>
    </row>
    <row r="1803" spans="12:13" x14ac:dyDescent="0.2">
      <c r="L1803" s="129"/>
      <c r="M1803" s="132"/>
    </row>
    <row r="1804" spans="12:13" x14ac:dyDescent="0.2">
      <c r="L1804" s="129"/>
      <c r="M1804" s="132"/>
    </row>
    <row r="1805" spans="12:13" x14ac:dyDescent="0.2">
      <c r="L1805" s="129"/>
      <c r="M1805" s="132"/>
    </row>
    <row r="1806" spans="12:13" x14ac:dyDescent="0.2">
      <c r="L1806" s="129"/>
      <c r="M1806" s="132"/>
    </row>
    <row r="1807" spans="12:13" x14ac:dyDescent="0.2">
      <c r="L1807" s="129"/>
      <c r="M1807" s="132"/>
    </row>
    <row r="1808" spans="12:13" x14ac:dyDescent="0.2">
      <c r="L1808" s="129"/>
      <c r="M1808" s="132"/>
    </row>
    <row r="1809" spans="12:13" x14ac:dyDescent="0.2">
      <c r="L1809" s="129"/>
      <c r="M1809" s="132"/>
    </row>
    <row r="1810" spans="12:13" x14ac:dyDescent="0.2">
      <c r="L1810" s="129"/>
      <c r="M1810" s="132"/>
    </row>
    <row r="1811" spans="12:13" x14ac:dyDescent="0.2">
      <c r="L1811" s="129"/>
      <c r="M1811" s="132"/>
    </row>
    <row r="1812" spans="12:13" x14ac:dyDescent="0.2">
      <c r="L1812" s="129"/>
      <c r="M1812" s="132"/>
    </row>
    <row r="1813" spans="12:13" x14ac:dyDescent="0.2">
      <c r="L1813" s="129"/>
      <c r="M1813" s="132"/>
    </row>
    <row r="1814" spans="12:13" x14ac:dyDescent="0.2">
      <c r="L1814" s="129"/>
      <c r="M1814" s="132"/>
    </row>
    <row r="1815" spans="12:13" x14ac:dyDescent="0.2">
      <c r="L1815" s="129"/>
      <c r="M1815" s="132"/>
    </row>
    <row r="1816" spans="12:13" x14ac:dyDescent="0.2">
      <c r="L1816" s="129"/>
      <c r="M1816" s="132"/>
    </row>
    <row r="1817" spans="12:13" x14ac:dyDescent="0.2">
      <c r="L1817" s="129"/>
      <c r="M1817" s="132"/>
    </row>
    <row r="1818" spans="12:13" x14ac:dyDescent="0.2">
      <c r="L1818" s="129"/>
      <c r="M1818" s="132"/>
    </row>
    <row r="1819" spans="12:13" x14ac:dyDescent="0.2">
      <c r="L1819" s="129"/>
      <c r="M1819" s="132"/>
    </row>
    <row r="1820" spans="12:13" x14ac:dyDescent="0.2">
      <c r="L1820" s="129"/>
      <c r="M1820" s="132"/>
    </row>
    <row r="1821" spans="12:13" x14ac:dyDescent="0.2">
      <c r="L1821" s="129"/>
      <c r="M1821" s="132"/>
    </row>
    <row r="1822" spans="12:13" x14ac:dyDescent="0.2">
      <c r="L1822" s="129"/>
      <c r="M1822" s="132"/>
    </row>
    <row r="1823" spans="12:13" x14ac:dyDescent="0.2">
      <c r="L1823" s="129"/>
      <c r="M1823" s="132"/>
    </row>
    <row r="1824" spans="12:13" x14ac:dyDescent="0.2">
      <c r="L1824" s="129"/>
      <c r="M1824" s="132"/>
    </row>
    <row r="1825" spans="12:13" x14ac:dyDescent="0.2">
      <c r="L1825" s="129"/>
      <c r="M1825" s="132"/>
    </row>
    <row r="1826" spans="12:13" x14ac:dyDescent="0.2">
      <c r="L1826" s="129"/>
      <c r="M1826" s="132"/>
    </row>
    <row r="1827" spans="12:13" x14ac:dyDescent="0.2">
      <c r="L1827" s="129"/>
      <c r="M1827" s="132"/>
    </row>
    <row r="1828" spans="12:13" x14ac:dyDescent="0.2">
      <c r="L1828" s="129"/>
      <c r="M1828" s="132"/>
    </row>
    <row r="1829" spans="12:13" x14ac:dyDescent="0.2">
      <c r="L1829" s="129"/>
      <c r="M1829" s="132"/>
    </row>
    <row r="1830" spans="12:13" x14ac:dyDescent="0.2">
      <c r="L1830" s="129"/>
      <c r="M1830" s="132"/>
    </row>
    <row r="1831" spans="12:13" x14ac:dyDescent="0.2">
      <c r="L1831" s="129"/>
      <c r="M1831" s="132"/>
    </row>
    <row r="1832" spans="12:13" x14ac:dyDescent="0.2">
      <c r="L1832" s="129"/>
      <c r="M1832" s="132"/>
    </row>
    <row r="1833" spans="12:13" x14ac:dyDescent="0.2">
      <c r="L1833" s="129"/>
      <c r="M1833" s="132"/>
    </row>
    <row r="1834" spans="12:13" x14ac:dyDescent="0.2">
      <c r="L1834" s="129"/>
      <c r="M1834" s="132"/>
    </row>
    <row r="1835" spans="12:13" x14ac:dyDescent="0.2">
      <c r="L1835" s="129"/>
      <c r="M1835" s="132"/>
    </row>
    <row r="1836" spans="12:13" x14ac:dyDescent="0.2">
      <c r="L1836" s="129"/>
      <c r="M1836" s="132"/>
    </row>
    <row r="1837" spans="12:13" x14ac:dyDescent="0.2">
      <c r="L1837" s="129"/>
      <c r="M1837" s="132"/>
    </row>
    <row r="1838" spans="12:13" x14ac:dyDescent="0.2">
      <c r="L1838" s="129"/>
      <c r="M1838" s="132"/>
    </row>
    <row r="1839" spans="12:13" x14ac:dyDescent="0.2">
      <c r="L1839" s="129"/>
      <c r="M1839" s="132"/>
    </row>
    <row r="1840" spans="12:13" x14ac:dyDescent="0.2">
      <c r="L1840" s="129"/>
      <c r="M1840" s="132"/>
    </row>
    <row r="1841" spans="12:13" x14ac:dyDescent="0.2">
      <c r="L1841" s="129"/>
      <c r="M1841" s="132"/>
    </row>
    <row r="1842" spans="12:13" x14ac:dyDescent="0.2">
      <c r="L1842" s="129"/>
      <c r="M1842" s="132"/>
    </row>
    <row r="1843" spans="12:13" x14ac:dyDescent="0.2">
      <c r="L1843" s="129"/>
      <c r="M1843" s="132"/>
    </row>
    <row r="1844" spans="12:13" x14ac:dyDescent="0.2">
      <c r="L1844" s="129"/>
      <c r="M1844" s="132"/>
    </row>
    <row r="1845" spans="12:13" x14ac:dyDescent="0.2">
      <c r="L1845" s="129"/>
      <c r="M1845" s="132"/>
    </row>
    <row r="1846" spans="12:13" x14ac:dyDescent="0.2">
      <c r="L1846" s="129"/>
      <c r="M1846" s="132"/>
    </row>
  </sheetData>
  <autoFilter ref="A3:CW2677" xr:uid="{00000000-0009-0000-0000-000003000000}"/>
  <sortState xmlns:xlrd2="http://schemas.microsoft.com/office/spreadsheetml/2017/richdata2" ref="A4:BR1048569">
    <sortCondition ref="A4:A1048569"/>
    <sortCondition ref="B4:B1048569"/>
  </sortState>
  <dataConsolidate/>
  <mergeCells count="9">
    <mergeCell ref="AZ2:BH2"/>
    <mergeCell ref="AQ2:AY2"/>
    <mergeCell ref="V1:BR1"/>
    <mergeCell ref="H2:I2"/>
    <mergeCell ref="N2:P2"/>
    <mergeCell ref="Q2:S2"/>
    <mergeCell ref="AA2:AM2"/>
    <mergeCell ref="AN2:AP2"/>
    <mergeCell ref="J2:M2"/>
  </mergeCells>
  <conditionalFormatting sqref="X1:Z1048576">
    <cfRule type="cellIs" dxfId="0" priority="2" operator="equal">
      <formula>"KO"</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19</xdr:col>
                    <xdr:colOff>485775</xdr:colOff>
                    <xdr:row>0</xdr:row>
                    <xdr:rowOff>28575</xdr:rowOff>
                  </from>
                  <to>
                    <xdr:col>20</xdr:col>
                    <xdr:colOff>876300</xdr:colOff>
                    <xdr:row>0</xdr:row>
                    <xdr:rowOff>381000</xdr:rowOff>
                  </to>
                </anchor>
              </controlPr>
            </control>
          </mc:Choice>
        </mc:AlternateContent>
        <mc:AlternateContent xmlns:mc="http://schemas.openxmlformats.org/markup-compatibility/2006">
          <mc:Choice Requires="x14">
            <control shapeId="11277" r:id="rId6" name="Button 13">
              <controlPr defaultSize="0" print="0" autoFill="0" autoPict="0" macro="[0]!Bouton_Accueil_Cliquer">
                <anchor moveWithCells="1" sizeWithCells="1">
                  <from>
                    <xdr:col>70</xdr:col>
                    <xdr:colOff>76200</xdr:colOff>
                    <xdr:row>0</xdr:row>
                    <xdr:rowOff>38100</xdr:rowOff>
                  </from>
                  <to>
                    <xdr:col>71</xdr:col>
                    <xdr:colOff>581025</xdr:colOff>
                    <xdr:row>0</xdr:row>
                    <xdr:rowOff>390525</xdr:rowOff>
                  </to>
                </anchor>
              </controlPr>
            </control>
          </mc:Choice>
        </mc:AlternateContent>
        <mc:AlternateContent xmlns:mc="http://schemas.openxmlformats.org/markup-compatibility/2006">
          <mc:Choice Requires="x14">
            <control shapeId="11279" r:id="rId7" name="Button 2">
              <controlPr defaultSize="0" print="0" autoFill="0" autoPict="0" macro="[0]!Effacage_Donnees">
                <anchor>
                  <from>
                    <xdr:col>54</xdr:col>
                    <xdr:colOff>1209675</xdr:colOff>
                    <xdr:row>0</xdr:row>
                    <xdr:rowOff>38100</xdr:rowOff>
                  </from>
                  <to>
                    <xdr:col>57</xdr:col>
                    <xdr:colOff>285750</xdr:colOff>
                    <xdr:row>0</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6" bestFit="1" customWidth="1"/>
    <col min="4" max="4" width="20.28515625" style="98" bestFit="1" customWidth="1"/>
  </cols>
  <sheetData>
    <row r="1" spans="1:9" x14ac:dyDescent="0.2">
      <c r="A1" s="2" t="s">
        <v>58</v>
      </c>
      <c r="B1" s="11" t="s">
        <v>62</v>
      </c>
      <c r="C1" s="3" t="s">
        <v>59</v>
      </c>
      <c r="D1" s="97" t="s">
        <v>61</v>
      </c>
      <c r="E1" s="91" t="s">
        <v>60</v>
      </c>
      <c r="F1" s="4">
        <f>MAX(B1:B10000)</f>
        <v>0</v>
      </c>
      <c r="G1" s="5" t="s">
        <v>2</v>
      </c>
    </row>
    <row r="3" spans="1:9" x14ac:dyDescent="0.2">
      <c r="E3" s="92" t="s">
        <v>2</v>
      </c>
      <c r="F3" s="7" t="s">
        <v>53</v>
      </c>
      <c r="G3" s="8" t="s">
        <v>0</v>
      </c>
      <c r="H3" s="8" t="s">
        <v>55</v>
      </c>
      <c r="I3" s="8" t="s">
        <v>1</v>
      </c>
    </row>
    <row r="4" spans="1:9" x14ac:dyDescent="0.2">
      <c r="E4" s="93" t="s">
        <v>3</v>
      </c>
      <c r="F4" s="13">
        <v>0</v>
      </c>
      <c r="G4" s="14" t="e">
        <f t="shared" ref="G4:G53" si="0">F4/$F$55*100</f>
        <v>#DIV/0!</v>
      </c>
      <c r="H4" s="14">
        <v>0</v>
      </c>
      <c r="I4" s="14" t="e">
        <f t="shared" ref="I4:I53" si="1">H4/$H$55*100</f>
        <v>#DIV/0!</v>
      </c>
    </row>
    <row r="5" spans="1:9" x14ac:dyDescent="0.2">
      <c r="E5" s="93" t="s">
        <v>4</v>
      </c>
      <c r="F5" s="13">
        <v>0</v>
      </c>
      <c r="G5" s="14" t="e">
        <f t="shared" si="0"/>
        <v>#DIV/0!</v>
      </c>
      <c r="H5" s="14">
        <v>0</v>
      </c>
      <c r="I5" s="14" t="e">
        <f t="shared" si="1"/>
        <v>#DIV/0!</v>
      </c>
    </row>
    <row r="6" spans="1:9" x14ac:dyDescent="0.2">
      <c r="E6" s="93" t="s">
        <v>5</v>
      </c>
      <c r="F6" s="13">
        <v>0</v>
      </c>
      <c r="G6" s="14" t="e">
        <f t="shared" si="0"/>
        <v>#DIV/0!</v>
      </c>
      <c r="H6" s="14">
        <v>0</v>
      </c>
      <c r="I6" s="14" t="e">
        <f t="shared" si="1"/>
        <v>#DIV/0!</v>
      </c>
    </row>
    <row r="7" spans="1:9" x14ac:dyDescent="0.2">
      <c r="E7" s="93" t="s">
        <v>6</v>
      </c>
      <c r="F7" s="13">
        <v>0</v>
      </c>
      <c r="G7" s="14" t="e">
        <f t="shared" si="0"/>
        <v>#DIV/0!</v>
      </c>
      <c r="H7" s="14">
        <v>0</v>
      </c>
      <c r="I7" s="14" t="e">
        <f t="shared" si="1"/>
        <v>#DIV/0!</v>
      </c>
    </row>
    <row r="8" spans="1:9" x14ac:dyDescent="0.2">
      <c r="E8" s="93" t="s">
        <v>7</v>
      </c>
      <c r="F8" s="13">
        <v>0</v>
      </c>
      <c r="G8" s="14" t="e">
        <f t="shared" si="0"/>
        <v>#DIV/0!</v>
      </c>
      <c r="H8" s="14">
        <v>0</v>
      </c>
      <c r="I8" s="14" t="e">
        <f t="shared" si="1"/>
        <v>#DIV/0!</v>
      </c>
    </row>
    <row r="9" spans="1:9" x14ac:dyDescent="0.2">
      <c r="E9" s="93" t="s">
        <v>8</v>
      </c>
      <c r="F9" s="13">
        <v>0</v>
      </c>
      <c r="G9" s="14" t="e">
        <f t="shared" si="0"/>
        <v>#DIV/0!</v>
      </c>
      <c r="H9" s="14">
        <v>0</v>
      </c>
      <c r="I9" s="14" t="e">
        <f t="shared" si="1"/>
        <v>#DIV/0!</v>
      </c>
    </row>
    <row r="10" spans="1:9" x14ac:dyDescent="0.2">
      <c r="E10" s="93" t="s">
        <v>9</v>
      </c>
      <c r="F10" s="13">
        <v>0</v>
      </c>
      <c r="G10" s="14" t="e">
        <f t="shared" si="0"/>
        <v>#DIV/0!</v>
      </c>
      <c r="H10" s="14">
        <v>0</v>
      </c>
      <c r="I10" s="14" t="e">
        <f t="shared" si="1"/>
        <v>#DIV/0!</v>
      </c>
    </row>
    <row r="11" spans="1:9" x14ac:dyDescent="0.2">
      <c r="E11" s="93" t="s">
        <v>10</v>
      </c>
      <c r="F11" s="13">
        <v>0</v>
      </c>
      <c r="G11" s="14" t="e">
        <f t="shared" si="0"/>
        <v>#DIV/0!</v>
      </c>
      <c r="H11" s="14">
        <v>0</v>
      </c>
      <c r="I11" s="14" t="e">
        <f t="shared" si="1"/>
        <v>#DIV/0!</v>
      </c>
    </row>
    <row r="12" spans="1:9" x14ac:dyDescent="0.2">
      <c r="E12" s="93" t="s">
        <v>11</v>
      </c>
      <c r="F12" s="13">
        <v>0</v>
      </c>
      <c r="G12" s="14" t="e">
        <f t="shared" si="0"/>
        <v>#DIV/0!</v>
      </c>
      <c r="H12" s="14">
        <v>0</v>
      </c>
      <c r="I12" s="14" t="e">
        <f t="shared" si="1"/>
        <v>#DIV/0!</v>
      </c>
    </row>
    <row r="13" spans="1:9" x14ac:dyDescent="0.2">
      <c r="E13" s="93" t="s">
        <v>12</v>
      </c>
      <c r="F13" s="13">
        <v>0</v>
      </c>
      <c r="G13" s="14" t="e">
        <f t="shared" si="0"/>
        <v>#DIV/0!</v>
      </c>
      <c r="H13" s="14">
        <v>0</v>
      </c>
      <c r="I13" s="14" t="e">
        <f t="shared" si="1"/>
        <v>#DIV/0!</v>
      </c>
    </row>
    <row r="14" spans="1:9" x14ac:dyDescent="0.2">
      <c r="E14" s="93" t="s">
        <v>13</v>
      </c>
      <c r="F14" s="13">
        <v>0</v>
      </c>
      <c r="G14" s="14" t="e">
        <f t="shared" si="0"/>
        <v>#DIV/0!</v>
      </c>
      <c r="H14" s="14">
        <v>0</v>
      </c>
      <c r="I14" s="14" t="e">
        <f t="shared" si="1"/>
        <v>#DIV/0!</v>
      </c>
    </row>
    <row r="15" spans="1:9" x14ac:dyDescent="0.2">
      <c r="E15" s="93" t="s">
        <v>14</v>
      </c>
      <c r="F15" s="13">
        <v>0</v>
      </c>
      <c r="G15" s="14" t="e">
        <f t="shared" si="0"/>
        <v>#DIV/0!</v>
      </c>
      <c r="H15" s="14">
        <v>0</v>
      </c>
      <c r="I15" s="14" t="e">
        <f t="shared" si="1"/>
        <v>#DIV/0!</v>
      </c>
    </row>
    <row r="16" spans="1:9" x14ac:dyDescent="0.2">
      <c r="E16" s="93" t="s">
        <v>15</v>
      </c>
      <c r="F16" s="13">
        <v>0</v>
      </c>
      <c r="G16" s="14" t="e">
        <f t="shared" si="0"/>
        <v>#DIV/0!</v>
      </c>
      <c r="H16" s="14">
        <v>0</v>
      </c>
      <c r="I16" s="14" t="e">
        <f t="shared" si="1"/>
        <v>#DIV/0!</v>
      </c>
    </row>
    <row r="17" spans="5:9" x14ac:dyDescent="0.2">
      <c r="E17" s="93" t="s">
        <v>16</v>
      </c>
      <c r="F17" s="13">
        <v>0</v>
      </c>
      <c r="G17" s="14" t="e">
        <f t="shared" si="0"/>
        <v>#DIV/0!</v>
      </c>
      <c r="H17" s="14">
        <v>0</v>
      </c>
      <c r="I17" s="14" t="e">
        <f t="shared" si="1"/>
        <v>#DIV/0!</v>
      </c>
    </row>
    <row r="18" spans="5:9" x14ac:dyDescent="0.2">
      <c r="E18" s="93" t="s">
        <v>17</v>
      </c>
      <c r="F18" s="13">
        <v>0</v>
      </c>
      <c r="G18" s="14" t="e">
        <f t="shared" si="0"/>
        <v>#DIV/0!</v>
      </c>
      <c r="H18" s="14">
        <v>0</v>
      </c>
      <c r="I18" s="14" t="e">
        <f t="shared" si="1"/>
        <v>#DIV/0!</v>
      </c>
    </row>
    <row r="19" spans="5:9" x14ac:dyDescent="0.2">
      <c r="E19" s="93" t="s">
        <v>18</v>
      </c>
      <c r="F19" s="13">
        <v>0</v>
      </c>
      <c r="G19" s="14" t="e">
        <f t="shared" si="0"/>
        <v>#DIV/0!</v>
      </c>
      <c r="H19" s="14">
        <v>0</v>
      </c>
      <c r="I19" s="14" t="e">
        <f t="shared" si="1"/>
        <v>#DIV/0!</v>
      </c>
    </row>
    <row r="20" spans="5:9" x14ac:dyDescent="0.2">
      <c r="E20" s="93" t="s">
        <v>19</v>
      </c>
      <c r="F20" s="13">
        <v>0</v>
      </c>
      <c r="G20" s="14" t="e">
        <f t="shared" si="0"/>
        <v>#DIV/0!</v>
      </c>
      <c r="H20" s="14">
        <v>0</v>
      </c>
      <c r="I20" s="14" t="e">
        <f t="shared" si="1"/>
        <v>#DIV/0!</v>
      </c>
    </row>
    <row r="21" spans="5:9" x14ac:dyDescent="0.2">
      <c r="E21" s="93" t="s">
        <v>20</v>
      </c>
      <c r="F21" s="13">
        <v>0</v>
      </c>
      <c r="G21" s="14" t="e">
        <f t="shared" si="0"/>
        <v>#DIV/0!</v>
      </c>
      <c r="H21" s="14">
        <v>0</v>
      </c>
      <c r="I21" s="14" t="e">
        <f t="shared" si="1"/>
        <v>#DIV/0!</v>
      </c>
    </row>
    <row r="22" spans="5:9" x14ac:dyDescent="0.2">
      <c r="E22" s="93" t="s">
        <v>21</v>
      </c>
      <c r="F22" s="13">
        <v>0</v>
      </c>
      <c r="G22" s="14" t="e">
        <f t="shared" si="0"/>
        <v>#DIV/0!</v>
      </c>
      <c r="H22" s="14">
        <v>0</v>
      </c>
      <c r="I22" s="14" t="e">
        <f t="shared" si="1"/>
        <v>#DIV/0!</v>
      </c>
    </row>
    <row r="23" spans="5:9" x14ac:dyDescent="0.2">
      <c r="E23" s="93" t="s">
        <v>22</v>
      </c>
      <c r="F23" s="13">
        <v>0</v>
      </c>
      <c r="G23" s="14" t="e">
        <f t="shared" si="0"/>
        <v>#DIV/0!</v>
      </c>
      <c r="H23" s="14">
        <v>0</v>
      </c>
      <c r="I23" s="14" t="e">
        <f t="shared" si="1"/>
        <v>#DIV/0!</v>
      </c>
    </row>
    <row r="24" spans="5:9" x14ac:dyDescent="0.2">
      <c r="E24" s="93" t="s">
        <v>23</v>
      </c>
      <c r="F24" s="13">
        <v>0</v>
      </c>
      <c r="G24" s="14" t="e">
        <f t="shared" si="0"/>
        <v>#DIV/0!</v>
      </c>
      <c r="H24" s="14">
        <v>0</v>
      </c>
      <c r="I24" s="14" t="e">
        <f t="shared" si="1"/>
        <v>#DIV/0!</v>
      </c>
    </row>
    <row r="25" spans="5:9" x14ac:dyDescent="0.2">
      <c r="E25" s="93" t="s">
        <v>24</v>
      </c>
      <c r="F25" s="13">
        <v>0</v>
      </c>
      <c r="G25" s="14" t="e">
        <f t="shared" si="0"/>
        <v>#DIV/0!</v>
      </c>
      <c r="H25" s="14">
        <v>0</v>
      </c>
      <c r="I25" s="14" t="e">
        <f t="shared" si="1"/>
        <v>#DIV/0!</v>
      </c>
    </row>
    <row r="26" spans="5:9" x14ac:dyDescent="0.2">
      <c r="E26" s="93" t="s">
        <v>25</v>
      </c>
      <c r="F26" s="13">
        <v>0</v>
      </c>
      <c r="G26" s="14" t="e">
        <f t="shared" si="0"/>
        <v>#DIV/0!</v>
      </c>
      <c r="H26" s="14">
        <v>0</v>
      </c>
      <c r="I26" s="14" t="e">
        <f t="shared" si="1"/>
        <v>#DIV/0!</v>
      </c>
    </row>
    <row r="27" spans="5:9" x14ac:dyDescent="0.2">
      <c r="E27" s="93" t="s">
        <v>26</v>
      </c>
      <c r="F27" s="13">
        <v>0</v>
      </c>
      <c r="G27" s="14" t="e">
        <f t="shared" si="0"/>
        <v>#DIV/0!</v>
      </c>
      <c r="H27" s="14">
        <v>0</v>
      </c>
      <c r="I27" s="14" t="e">
        <f t="shared" si="1"/>
        <v>#DIV/0!</v>
      </c>
    </row>
    <row r="28" spans="5:9" x14ac:dyDescent="0.2">
      <c r="E28" s="93" t="s">
        <v>27</v>
      </c>
      <c r="F28" s="13">
        <v>0</v>
      </c>
      <c r="G28" s="14" t="e">
        <f t="shared" si="0"/>
        <v>#DIV/0!</v>
      </c>
      <c r="H28" s="14">
        <v>0</v>
      </c>
      <c r="I28" s="14" t="e">
        <f t="shared" si="1"/>
        <v>#DIV/0!</v>
      </c>
    </row>
    <row r="29" spans="5:9" x14ac:dyDescent="0.2">
      <c r="E29" s="93" t="s">
        <v>28</v>
      </c>
      <c r="F29" s="13">
        <v>0</v>
      </c>
      <c r="G29" s="14" t="e">
        <f t="shared" si="0"/>
        <v>#DIV/0!</v>
      </c>
      <c r="H29" s="14">
        <v>0</v>
      </c>
      <c r="I29" s="14" t="e">
        <f t="shared" si="1"/>
        <v>#DIV/0!</v>
      </c>
    </row>
    <row r="30" spans="5:9" x14ac:dyDescent="0.2">
      <c r="E30" s="93" t="s">
        <v>29</v>
      </c>
      <c r="F30" s="13">
        <v>0</v>
      </c>
      <c r="G30" s="14" t="e">
        <f t="shared" si="0"/>
        <v>#DIV/0!</v>
      </c>
      <c r="H30" s="14">
        <v>0</v>
      </c>
      <c r="I30" s="14" t="e">
        <f t="shared" si="1"/>
        <v>#DIV/0!</v>
      </c>
    </row>
    <row r="31" spans="5:9" x14ac:dyDescent="0.2">
      <c r="E31" s="93" t="s">
        <v>30</v>
      </c>
      <c r="F31" s="13">
        <v>0</v>
      </c>
      <c r="G31" s="14" t="e">
        <f t="shared" si="0"/>
        <v>#DIV/0!</v>
      </c>
      <c r="H31" s="14">
        <v>0</v>
      </c>
      <c r="I31" s="14" t="e">
        <f t="shared" si="1"/>
        <v>#DIV/0!</v>
      </c>
    </row>
    <row r="32" spans="5:9" x14ac:dyDescent="0.2">
      <c r="E32" s="93" t="s">
        <v>31</v>
      </c>
      <c r="F32" s="13">
        <v>0</v>
      </c>
      <c r="G32" s="14" t="e">
        <f t="shared" si="0"/>
        <v>#DIV/0!</v>
      </c>
      <c r="H32" s="14">
        <v>0</v>
      </c>
      <c r="I32" s="14" t="e">
        <f t="shared" si="1"/>
        <v>#DIV/0!</v>
      </c>
    </row>
    <row r="33" spans="5:9" x14ac:dyDescent="0.2">
      <c r="E33" s="93" t="s">
        <v>32</v>
      </c>
      <c r="F33" s="13">
        <v>0</v>
      </c>
      <c r="G33" s="14" t="e">
        <f t="shared" si="0"/>
        <v>#DIV/0!</v>
      </c>
      <c r="H33" s="14">
        <v>0</v>
      </c>
      <c r="I33" s="14" t="e">
        <f t="shared" si="1"/>
        <v>#DIV/0!</v>
      </c>
    </row>
    <row r="34" spans="5:9" x14ac:dyDescent="0.2">
      <c r="E34" s="93" t="s">
        <v>33</v>
      </c>
      <c r="F34" s="13">
        <v>0</v>
      </c>
      <c r="G34" s="14" t="e">
        <f t="shared" si="0"/>
        <v>#DIV/0!</v>
      </c>
      <c r="H34" s="14">
        <v>0</v>
      </c>
      <c r="I34" s="14" t="e">
        <f t="shared" si="1"/>
        <v>#DIV/0!</v>
      </c>
    </row>
    <row r="35" spans="5:9" x14ac:dyDescent="0.2">
      <c r="E35" s="93" t="s">
        <v>34</v>
      </c>
      <c r="F35" s="13">
        <v>0</v>
      </c>
      <c r="G35" s="14" t="e">
        <f t="shared" si="0"/>
        <v>#DIV/0!</v>
      </c>
      <c r="H35" s="14">
        <v>0</v>
      </c>
      <c r="I35" s="14" t="e">
        <f t="shared" si="1"/>
        <v>#DIV/0!</v>
      </c>
    </row>
    <row r="36" spans="5:9" x14ac:dyDescent="0.2">
      <c r="E36" s="93" t="s">
        <v>35</v>
      </c>
      <c r="F36" s="13">
        <v>0</v>
      </c>
      <c r="G36" s="14" t="e">
        <f t="shared" si="0"/>
        <v>#DIV/0!</v>
      </c>
      <c r="H36" s="14">
        <v>0</v>
      </c>
      <c r="I36" s="14" t="e">
        <f t="shared" si="1"/>
        <v>#DIV/0!</v>
      </c>
    </row>
    <row r="37" spans="5:9" x14ac:dyDescent="0.2">
      <c r="E37" s="93" t="s">
        <v>36</v>
      </c>
      <c r="F37" s="13">
        <v>0</v>
      </c>
      <c r="G37" s="14" t="e">
        <f t="shared" si="0"/>
        <v>#DIV/0!</v>
      </c>
      <c r="H37" s="14">
        <v>0</v>
      </c>
      <c r="I37" s="14" t="e">
        <f t="shared" si="1"/>
        <v>#DIV/0!</v>
      </c>
    </row>
    <row r="38" spans="5:9" x14ac:dyDescent="0.2">
      <c r="E38" s="93" t="s">
        <v>37</v>
      </c>
      <c r="F38" s="13">
        <v>0</v>
      </c>
      <c r="G38" s="14" t="e">
        <f t="shared" si="0"/>
        <v>#DIV/0!</v>
      </c>
      <c r="H38" s="14">
        <v>0</v>
      </c>
      <c r="I38" s="14" t="e">
        <f t="shared" si="1"/>
        <v>#DIV/0!</v>
      </c>
    </row>
    <row r="39" spans="5:9" x14ac:dyDescent="0.2">
      <c r="E39" s="93" t="s">
        <v>38</v>
      </c>
      <c r="F39" s="13">
        <v>0</v>
      </c>
      <c r="G39" s="14" t="e">
        <f t="shared" si="0"/>
        <v>#DIV/0!</v>
      </c>
      <c r="H39" s="14">
        <v>0</v>
      </c>
      <c r="I39" s="14" t="e">
        <f t="shared" si="1"/>
        <v>#DIV/0!</v>
      </c>
    </row>
    <row r="40" spans="5:9" x14ac:dyDescent="0.2">
      <c r="E40" s="93" t="s">
        <v>39</v>
      </c>
      <c r="F40" s="13">
        <v>0</v>
      </c>
      <c r="G40" s="14" t="e">
        <f t="shared" si="0"/>
        <v>#DIV/0!</v>
      </c>
      <c r="H40" s="14">
        <v>0</v>
      </c>
      <c r="I40" s="14" t="e">
        <f t="shared" si="1"/>
        <v>#DIV/0!</v>
      </c>
    </row>
    <row r="41" spans="5:9" x14ac:dyDescent="0.2">
      <c r="E41" s="93" t="s">
        <v>40</v>
      </c>
      <c r="F41" s="13">
        <v>0</v>
      </c>
      <c r="G41" s="14" t="e">
        <f t="shared" si="0"/>
        <v>#DIV/0!</v>
      </c>
      <c r="H41" s="14">
        <v>0</v>
      </c>
      <c r="I41" s="14" t="e">
        <f t="shared" si="1"/>
        <v>#DIV/0!</v>
      </c>
    </row>
    <row r="42" spans="5:9" x14ac:dyDescent="0.2">
      <c r="E42" s="93" t="s">
        <v>41</v>
      </c>
      <c r="F42" s="13">
        <v>0</v>
      </c>
      <c r="G42" s="14" t="e">
        <f t="shared" si="0"/>
        <v>#DIV/0!</v>
      </c>
      <c r="H42" s="14">
        <v>0</v>
      </c>
      <c r="I42" s="14" t="e">
        <f t="shared" si="1"/>
        <v>#DIV/0!</v>
      </c>
    </row>
    <row r="43" spans="5:9" x14ac:dyDescent="0.2">
      <c r="E43" s="93" t="s">
        <v>42</v>
      </c>
      <c r="F43" s="13">
        <v>0</v>
      </c>
      <c r="G43" s="14" t="e">
        <f t="shared" si="0"/>
        <v>#DIV/0!</v>
      </c>
      <c r="H43" s="14">
        <v>0</v>
      </c>
      <c r="I43" s="14" t="e">
        <f t="shared" si="1"/>
        <v>#DIV/0!</v>
      </c>
    </row>
    <row r="44" spans="5:9" x14ac:dyDescent="0.2">
      <c r="E44" s="93" t="s">
        <v>43</v>
      </c>
      <c r="F44" s="13">
        <v>0</v>
      </c>
      <c r="G44" s="14" t="e">
        <f t="shared" si="0"/>
        <v>#DIV/0!</v>
      </c>
      <c r="H44" s="14">
        <v>0</v>
      </c>
      <c r="I44" s="14" t="e">
        <f t="shared" si="1"/>
        <v>#DIV/0!</v>
      </c>
    </row>
    <row r="45" spans="5:9" x14ac:dyDescent="0.2">
      <c r="E45" s="93" t="s">
        <v>44</v>
      </c>
      <c r="F45" s="13">
        <v>0</v>
      </c>
      <c r="G45" s="14" t="e">
        <f t="shared" si="0"/>
        <v>#DIV/0!</v>
      </c>
      <c r="H45" s="14">
        <v>0</v>
      </c>
      <c r="I45" s="14" t="e">
        <f t="shared" si="1"/>
        <v>#DIV/0!</v>
      </c>
    </row>
    <row r="46" spans="5:9" x14ac:dyDescent="0.2">
      <c r="E46" s="93" t="s">
        <v>45</v>
      </c>
      <c r="F46" s="13">
        <v>0</v>
      </c>
      <c r="G46" s="14" t="e">
        <f t="shared" si="0"/>
        <v>#DIV/0!</v>
      </c>
      <c r="H46" s="14">
        <v>0</v>
      </c>
      <c r="I46" s="14" t="e">
        <f t="shared" si="1"/>
        <v>#DIV/0!</v>
      </c>
    </row>
    <row r="47" spans="5:9" x14ac:dyDescent="0.2">
      <c r="E47" s="93" t="s">
        <v>46</v>
      </c>
      <c r="F47" s="13">
        <v>0</v>
      </c>
      <c r="G47" s="14" t="e">
        <f t="shared" si="0"/>
        <v>#DIV/0!</v>
      </c>
      <c r="H47" s="14">
        <v>0</v>
      </c>
      <c r="I47" s="14" t="e">
        <f t="shared" si="1"/>
        <v>#DIV/0!</v>
      </c>
    </row>
    <row r="48" spans="5:9" x14ac:dyDescent="0.2">
      <c r="E48" s="93" t="s">
        <v>47</v>
      </c>
      <c r="F48" s="13">
        <v>0</v>
      </c>
      <c r="G48" s="14" t="e">
        <f t="shared" si="0"/>
        <v>#DIV/0!</v>
      </c>
      <c r="H48" s="14">
        <v>0</v>
      </c>
      <c r="I48" s="14" t="e">
        <f t="shared" si="1"/>
        <v>#DIV/0!</v>
      </c>
    </row>
    <row r="49" spans="5:9" x14ac:dyDescent="0.2">
      <c r="E49" s="93" t="s">
        <v>48</v>
      </c>
      <c r="F49" s="13">
        <v>0</v>
      </c>
      <c r="G49" s="14" t="e">
        <f t="shared" si="0"/>
        <v>#DIV/0!</v>
      </c>
      <c r="H49" s="14">
        <v>0</v>
      </c>
      <c r="I49" s="14" t="e">
        <f t="shared" si="1"/>
        <v>#DIV/0!</v>
      </c>
    </row>
    <row r="50" spans="5:9" x14ac:dyDescent="0.2">
      <c r="E50" s="93" t="s">
        <v>49</v>
      </c>
      <c r="F50" s="13">
        <v>0</v>
      </c>
      <c r="G50" s="14" t="e">
        <f t="shared" si="0"/>
        <v>#DIV/0!</v>
      </c>
      <c r="H50" s="14">
        <v>0</v>
      </c>
      <c r="I50" s="14" t="e">
        <f t="shared" si="1"/>
        <v>#DIV/0!</v>
      </c>
    </row>
    <row r="51" spans="5:9" x14ac:dyDescent="0.2">
      <c r="E51" s="93" t="s">
        <v>50</v>
      </c>
      <c r="F51" s="13">
        <v>0</v>
      </c>
      <c r="G51" s="14" t="e">
        <f t="shared" si="0"/>
        <v>#DIV/0!</v>
      </c>
      <c r="H51" s="14">
        <v>0</v>
      </c>
      <c r="I51" s="14" t="e">
        <f t="shared" si="1"/>
        <v>#DIV/0!</v>
      </c>
    </row>
    <row r="52" spans="5:9" x14ac:dyDescent="0.2">
      <c r="E52" s="93" t="s">
        <v>51</v>
      </c>
      <c r="F52" s="13">
        <v>0</v>
      </c>
      <c r="G52" s="14" t="e">
        <f t="shared" si="0"/>
        <v>#DIV/0!</v>
      </c>
      <c r="H52" s="14">
        <v>0</v>
      </c>
      <c r="I52" s="14" t="e">
        <f t="shared" si="1"/>
        <v>#DIV/0!</v>
      </c>
    </row>
    <row r="53" spans="5:9" x14ac:dyDescent="0.2">
      <c r="E53" s="93" t="s">
        <v>52</v>
      </c>
      <c r="F53" s="13">
        <v>0</v>
      </c>
      <c r="G53" s="14" t="e">
        <f t="shared" si="0"/>
        <v>#DIV/0!</v>
      </c>
      <c r="H53" s="14">
        <v>0</v>
      </c>
      <c r="I53" s="14" t="e">
        <f t="shared" si="1"/>
        <v>#DIV/0!</v>
      </c>
    </row>
    <row r="54" spans="5:9" x14ac:dyDescent="0.2">
      <c r="E54" s="95"/>
      <c r="F54" s="9"/>
      <c r="G54" s="6"/>
      <c r="H54" s="6"/>
      <c r="I54" s="6"/>
    </row>
    <row r="55" spans="5:9" x14ac:dyDescent="0.2">
      <c r="E55" s="94" t="s">
        <v>63</v>
      </c>
      <c r="F55" s="7">
        <f>SUM(F4:F53)</f>
        <v>0</v>
      </c>
      <c r="G55" s="12" t="s">
        <v>64</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Perso</cp:lastModifiedBy>
  <dcterms:created xsi:type="dcterms:W3CDTF">2016-07-02T15:54:45Z</dcterms:created>
  <dcterms:modified xsi:type="dcterms:W3CDTF">2022-05-27T20:29:28Z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2020-12-07T09:06:27Z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
  </property>
  <property fmtid="{D5CDD505-2E9C-101B-9397-08002B2CF9AE}" pid="8" name="MSIP_Label_2fd53d93-3f4c-4b90-b511-bd6bdbb4fba9_ContentBits">
    <vt:lpwstr>0</vt:lpwstr>
  </property>
</Properties>
</file>