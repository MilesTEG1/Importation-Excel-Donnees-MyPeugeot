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223" documentId="11_2B47D562DD05DEADBE94BA1166E03B0256CEF507" xr6:coauthVersionLast="45" xr6:coauthVersionMax="45" xr10:uidLastSave="{A4C03893-6EAD-4E1C-85BE-FD5F03B32410}"/>
  <bookViews>
    <workbookView xWindow="4065" yWindow="855" windowWidth="33510" windowHeight="18930" tabRatio="744" xr2:uid="{00000000-000D-0000-FFFF-FFFF00000000}"/>
  </bookViews>
  <sheets>
    <sheet name="Accueil" sheetId="17" r:id="rId1"/>
    <sheet name="Trajets" sheetId="12" r:id="rId2"/>
    <sheet name="Donnees-Recap" sheetId="13" r:id="rId3"/>
    <sheet name="Trajets-MyPeugeot (Modèle)" sheetId="14" r:id="rId4"/>
    <sheet name="Accueil (Modèle)" sheetId="18" r:id="rId5"/>
  </sheets>
  <functionGroups builtInGroupCount="19"/>
  <definedNames>
    <definedName name="_xlnm._FilterDatabase" localSheetId="1" hidden="1">Trajets!$A$2:$B$223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G34" i="13"/>
  <c r="G24" i="13"/>
  <c r="G18" i="13"/>
  <c r="G14" i="13"/>
  <c r="G11" i="13"/>
  <c r="G7" i="13"/>
  <c r="G6" i="13"/>
  <c r="G5" i="13"/>
  <c r="G4" i="13"/>
  <c r="F1" i="13"/>
  <c r="H1" i="17"/>
  <c r="I12" i="13" l="1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<sst xmlns="http://schemas.openxmlformats.org/spreadsheetml/2006/main" count="149" uniqueCount="116">
  <si>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</si>
  <si>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</si>
  <si>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</si>
  <si>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</si>
  <si>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</si>
  <si>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</si>
  <si>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</si>
  <si>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</si>
  <si>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</si>
  <si>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</si>
  <si>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</si>
  <si>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</si>
  <si>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</si>
  <si>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</si>
  <si>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</si>
  <si>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</si>
  <si>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</si>
  <si>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</si>
  <si>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</si>
  <si>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</si>
  <si>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</si>
  <si>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</si>
  <si>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</si>
  <si>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</si>
  <si>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</si>
  <si>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</si>
  <si>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</si>
  <si>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</si>
  <si>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</si>
  <si>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</si>
  <si>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</si>
  <si>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</si>
  <si>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</si>
  <si>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</si>
  <si>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</si>
  <si>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</si>
  <si>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</si>
  <si>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</si>
  <si>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</si>
  <si>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</si>
  <si>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</si>
  <si>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</si>
  <si>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</si>
  <si>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</si>
  <si>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</si>
  <si>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</si>
  <si>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</si>
  <si>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</si>
  <si>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</si>
  <si>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</si>
  <si>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</si>
  <si>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</si>
  <si>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</si>
  <si>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</si>
  <si>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</si>
  <si>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</si>
  <si>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</si>
  <si>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</si>
  <si>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</si>
  <si>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</si>
  <si>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</si>
  <si>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</si>
  <si>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</si>
  <si>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</si>
  <si>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</si>
  <si>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</si>
  <si>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</si>
  <si>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</si>
  <si>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</si>
  <si>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</si>
  <si>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</si>
  <si>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</si>
  <si>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</si>
  <si>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</si>
  <si>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</si>
  <si>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</si>
  <si>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</si>
  <si>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</si>
  <si>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</si>
  <si>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</si>
  <si>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</si>
  <si>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</si>
  <si>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</si>
  <si>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</si>
  <si>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</si>
  <si>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</si>
  <si>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</si>
  <si>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</si>
  <si>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</si>
  <si>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</si>
  <si>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</si>
  <si>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</si>
  <si>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</si>
  <si>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</si>
  <si>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</si>
  <si>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</si>
  <si>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</si>
  <si>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</si>
  <si>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</si>
  <si>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</si>
  <si>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</si>
  <si>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</si>
  <si>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</si>
  <si>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</si>
  <si>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</si>
  <si>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</si>
  <si>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</si>
  <si>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</si>
  <si>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</si>
  <si>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</si>
  <si>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</si>
  <si>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</si>
  <si>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</si>
  <si>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</si>
  <si>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</si>
  <si>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>v1.9.3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</si>
</sst>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6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1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pivotButton="1" applyFont="1" applyAlignment="1">
      <alignment horizontal="center" vertical="center"/>
    </xf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37.795723611111" missingItemsLimit="0" createdVersion="6" refreshedVersion="6" minRefreshableVersion="3" recordCount="222" xr:uid="{00000000-000A-0000-FFFF-FFFF10000000}">
  <cacheSource type="worksheet">
    <worksheetSource ref="A2:Q1048576" sheet="Trajets"/>
  </cacheSource>
  <cacheFields count="17">
    <cacheField name="VIN(s)" numFmtId="0">
      <sharedItems containsNonDate="0" containsString="0" containsBlank="1" count="1">
        <m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1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0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0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>
      <selection activeCell="V18" sqref="V18"/>
    </sheetView>
  </sheetViews>
  <sheetFormatPr baseColWidth="10" defaultRowHeight="15" x14ac:dyDescent="0.2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26" customWidth="1"/>
    <col min="14" max="14" width="25.5703125" style="126" customWidth="1"/>
    <col min="15" max="16384" width="11.42578125" style="103"/>
  </cols>
  <sheetData>
    <row r="1" spans="2:14" ht="15.75" thickBot="1" x14ac:dyDescent="0.3">
      <c r="E1" s="104" t="s">
        <v>85</v>
      </c>
      <c r="F1" s="105" t="s">
        <v>109</v>
      </c>
      <c r="G1" s="106" t="s">
        <v>102</v>
      </c>
      <c r="H1" s="107" t="str">
        <f>IF($F1="(Plusieurs éléments)","",IF($F1="(vide)","",IF($F1="(Tous)","",VLOOKUP($F1,$M$3:$N$23,2,FALSE))))</f>
        <v/>
      </c>
      <c r="M1" s="136" t="s">
        <v>108</v>
      </c>
      <c r="N1" s="136"/>
    </row>
    <row r="2" spans="2:14" ht="15.75" thickTop="1" x14ac:dyDescent="0.25">
      <c r="B2" s="101" t="s">
        <v>96</v>
      </c>
      <c r="E2" s="108" t="s">
        <v>105</v>
      </c>
      <c r="F2" s="108"/>
      <c r="G2" s="105"/>
      <c r="M2" s="136"/>
      <c r="N2" s="136"/>
    </row>
    <row r="3" spans="2:14" ht="30.75" thickBot="1" x14ac:dyDescent="0.3">
      <c r="B3" s="102" t="s">
        <v>115</v>
      </c>
      <c r="E3" s="109" t="s">
        <v>99</v>
      </c>
      <c r="F3" s="110" t="s">
        <v>97</v>
      </c>
      <c r="G3" s="110" t="s">
        <v>98</v>
      </c>
      <c r="H3" s="109" t="s">
        <v>100</v>
      </c>
      <c r="I3" s="109" t="s">
        <v>103</v>
      </c>
      <c r="J3"/>
      <c r="M3" s="111" t="s">
        <v>101</v>
      </c>
      <c r="N3" s="112" t="s">
        <v>106</v>
      </c>
    </row>
    <row r="4" spans="2:14" ht="15.75" thickTop="1" x14ac:dyDescent="0.25">
      <c r="E4" s="113"/>
      <c r="F4" s="114"/>
      <c r="G4" s="115"/>
      <c r="H4" s="116"/>
      <c r="I4" s="117"/>
      <c r="J4"/>
      <c r="M4" s="118"/>
      <c r="N4" s="119"/>
    </row>
    <row r="5" spans="2:14" x14ac:dyDescent="0.25">
      <c r="B5" s="103" t="s">
        <v>104</v>
      </c>
      <c r="M5" s="120"/>
      <c r="N5" s="121"/>
    </row>
    <row r="6" spans="2:14" x14ac:dyDescent="0.25">
      <c r="E6" s="108" t="s">
        <v>114</v>
      </c>
      <c r="M6" s="120"/>
      <c r="N6" s="121"/>
    </row>
    <row r="7" spans="2:14" x14ac:dyDescent="0.25">
      <c r="E7" s="134" t="s">
        <v>113</v>
      </c>
      <c r="F7" s="135"/>
      <c r="G7" s="130" t="s">
        <v>110</v>
      </c>
      <c r="H7" s="131"/>
      <c r="M7" s="122"/>
      <c r="N7" s="123"/>
    </row>
    <row r="8" spans="2:14" x14ac:dyDescent="0.25">
      <c r="E8" s="132"/>
      <c r="F8" s="133"/>
      <c r="G8" s="127" t="s">
        <v>111</v>
      </c>
      <c r="H8" s="129"/>
      <c r="M8" s="122"/>
      <c r="N8" s="123"/>
    </row>
    <row r="9" spans="2:14" x14ac:dyDescent="0.25">
      <c r="E9" s="132"/>
      <c r="F9" s="133"/>
      <c r="G9" s="128" t="s">
        <v>112</v>
      </c>
      <c r="H9" s="129"/>
      <c r="M9" s="122"/>
      <c r="N9" s="123"/>
    </row>
    <row r="10" spans="2:14" x14ac:dyDescent="0.25">
      <c r="M10" s="122"/>
      <c r="N10" s="123"/>
    </row>
    <row r="11" spans="2:14" x14ac:dyDescent="0.25">
      <c r="M11" s="122"/>
      <c r="N11" s="123"/>
    </row>
    <row r="12" spans="2:14" x14ac:dyDescent="0.25">
      <c r="M12" s="122"/>
      <c r="N12" s="123"/>
    </row>
    <row r="13" spans="2:14" x14ac:dyDescent="0.25">
      <c r="M13" s="122"/>
      <c r="N13" s="123"/>
    </row>
    <row r="14" spans="2:14" x14ac:dyDescent="0.25">
      <c r="M14" s="122"/>
      <c r="N14" s="123"/>
    </row>
    <row r="15" spans="2:14" x14ac:dyDescent="0.25">
      <c r="M15" s="122"/>
      <c r="N15" s="123"/>
    </row>
    <row r="16" spans="2:14" x14ac:dyDescent="0.25">
      <c r="M16" s="122"/>
      <c r="N16" s="123"/>
    </row>
    <row r="17" spans="2:14" x14ac:dyDescent="0.25">
      <c r="M17" s="122"/>
      <c r="N17" s="123"/>
    </row>
    <row r="18" spans="2:14" x14ac:dyDescent="0.25">
      <c r="M18" s="122"/>
      <c r="N18" s="123"/>
    </row>
    <row r="19" spans="2:14" x14ac:dyDescent="0.25">
      <c r="M19" s="122"/>
      <c r="N19" s="123"/>
    </row>
    <row r="20" spans="2:14" x14ac:dyDescent="0.25">
      <c r="M20" s="122"/>
      <c r="N20" s="123"/>
    </row>
    <row r="21" spans="2:14" x14ac:dyDescent="0.25">
      <c r="B21" s="103" t="s">
        <v>104</v>
      </c>
      <c r="M21" s="122"/>
      <c r="N21" s="123"/>
    </row>
    <row r="22" spans="2:14" x14ac:dyDescent="0.25">
      <c r="M22" s="122"/>
      <c r="N22" s="123"/>
    </row>
    <row r="23" spans="2:14" x14ac:dyDescent="0.25">
      <c r="M23" s="124"/>
      <c r="N23" s="125"/>
    </row>
    <row r="37" spans="6:7" x14ac:dyDescent="0.25">
      <c r="G37" s="103" t="s">
        <v>104</v>
      </c>
    </row>
    <row r="38" spans="6:7" x14ac:dyDescent="0.25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2"/>
  <sheetViews>
    <sheetView workbookViewId="0">
      <selection activeCell="A223" sqref="A223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</sheetData>
  <autoFilter ref="A2:B223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39" t="s">
        <v>56</v>
      </c>
      <c r="B1" s="141"/>
      <c r="C1" s="141"/>
      <c r="D1" s="141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43"/>
      <c r="P1" s="143"/>
      <c r="Q1" s="144"/>
      <c r="R1" s="1"/>
    </row>
    <row r="2" spans="1:18" ht="15.75" x14ac:dyDescent="0.2">
      <c r="A2" s="140"/>
      <c r="B2" s="142"/>
      <c r="C2" s="142"/>
      <c r="D2" s="142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45"/>
      <c r="P2" s="145"/>
      <c r="Q2" s="146"/>
      <c r="R2" s="31"/>
    </row>
    <row r="3" spans="1:18" ht="15" x14ac:dyDescent="0.2">
      <c r="A3" s="147" t="s">
        <v>85</v>
      </c>
      <c r="B3" s="147" t="s">
        <v>54</v>
      </c>
      <c r="C3" s="148" t="s">
        <v>67</v>
      </c>
      <c r="D3" s="149" t="s">
        <v>68</v>
      </c>
      <c r="E3" s="138" t="s">
        <v>82</v>
      </c>
      <c r="F3" s="149" t="s">
        <v>66</v>
      </c>
      <c r="G3" s="149"/>
      <c r="H3" s="149" t="s">
        <v>70</v>
      </c>
      <c r="I3" s="149"/>
      <c r="J3" s="137" t="s">
        <v>64</v>
      </c>
      <c r="K3" s="137"/>
      <c r="L3" s="137"/>
      <c r="M3" s="137" t="s">
        <v>65</v>
      </c>
      <c r="N3" s="137"/>
      <c r="O3" s="137"/>
      <c r="P3" s="138" t="s">
        <v>74</v>
      </c>
      <c r="Q3" s="138" t="s">
        <v>83</v>
      </c>
    </row>
    <row r="4" spans="1:18" ht="15" x14ac:dyDescent="0.2">
      <c r="A4" s="147"/>
      <c r="B4" s="147"/>
      <c r="C4" s="148"/>
      <c r="D4" s="149"/>
      <c r="E4" s="138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8"/>
      <c r="Q4" s="138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50" t="s">
        <v>108</v>
      </c>
      <c r="N1" s="150"/>
    </row>
    <row r="2" spans="2:14" x14ac:dyDescent="0.2">
      <c r="B2" s="88" t="s">
        <v>96</v>
      </c>
      <c r="E2" s="92" t="s">
        <v>105</v>
      </c>
      <c r="F2" s="92"/>
      <c r="G2"/>
      <c r="M2" s="150"/>
      <c r="N2" s="150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3"/>
      <c r="N5" s="94"/>
    </row>
    <row r="6" spans="2:14" x14ac:dyDescent="0.2">
      <c r="E6" s="80"/>
      <c r="F6" s="80"/>
      <c r="G6" s="80"/>
      <c r="M6" s="93"/>
      <c r="N6" s="94"/>
    </row>
    <row r="7" spans="2:14" x14ac:dyDescent="0.2">
      <c r="E7" s="80"/>
      <c r="F7" s="80"/>
      <c r="G7" s="80"/>
      <c r="M7" s="95"/>
      <c r="N7" s="96"/>
    </row>
    <row r="8" spans="2:14" x14ac:dyDescent="0.2">
      <c r="E8" s="80"/>
      <c r="F8" s="80"/>
      <c r="G8" s="80"/>
      <c r="M8" s="95"/>
      <c r="N8" s="96"/>
    </row>
    <row r="9" spans="2:14" x14ac:dyDescent="0.2">
      <c r="E9" s="80"/>
      <c r="F9" s="80"/>
      <c r="G9" s="80"/>
      <c r="M9" s="95"/>
      <c r="N9" s="96"/>
    </row>
    <row r="10" spans="2:14" x14ac:dyDescent="0.2">
      <c r="E10" s="80"/>
      <c r="F10" s="80"/>
      <c r="G10" s="80"/>
      <c r="M10" s="95"/>
      <c r="N10" s="96"/>
    </row>
    <row r="11" spans="2:14" x14ac:dyDescent="0.2">
      <c r="E11" s="80"/>
      <c r="F11" s="80"/>
      <c r="G11" s="80"/>
      <c r="M11" s="95"/>
      <c r="N11" s="96"/>
    </row>
    <row r="12" spans="2:14" x14ac:dyDescent="0.2">
      <c r="E12" s="80"/>
      <c r="F12" s="80"/>
      <c r="G12" s="80"/>
      <c r="M12" s="95"/>
      <c r="N12" s="96"/>
    </row>
    <row r="13" spans="2:14" x14ac:dyDescent="0.2">
      <c r="E13" s="80"/>
      <c r="F13" s="80"/>
      <c r="G13" s="80"/>
      <c r="M13" s="95"/>
      <c r="N13" s="96"/>
    </row>
    <row r="14" spans="2:14" x14ac:dyDescent="0.2">
      <c r="E14" s="80"/>
      <c r="F14" s="80"/>
      <c r="G14" s="80"/>
      <c r="M14" s="95"/>
      <c r="N14" s="96"/>
    </row>
    <row r="15" spans="2:14" x14ac:dyDescent="0.2">
      <c r="E15" s="80"/>
      <c r="F15" s="80"/>
      <c r="G15" s="80"/>
      <c r="M15" s="95"/>
      <c r="N15" s="96"/>
    </row>
    <row r="16" spans="2:14" x14ac:dyDescent="0.2">
      <c r="E16" s="80"/>
      <c r="F16" s="80"/>
      <c r="G16" s="80"/>
      <c r="M16" s="95"/>
      <c r="N16" s="96"/>
    </row>
    <row r="17" spans="2:14" x14ac:dyDescent="0.2">
      <c r="E17" s="80"/>
      <c r="F17" s="80"/>
      <c r="G17" s="80"/>
      <c r="M17" s="95"/>
      <c r="N17" s="96"/>
    </row>
    <row r="18" spans="2:14" x14ac:dyDescent="0.2">
      <c r="E18" s="80"/>
      <c r="F18" s="80"/>
      <c r="G18" s="80"/>
      <c r="M18" s="95"/>
      <c r="N18" s="96"/>
    </row>
    <row r="19" spans="2:14" x14ac:dyDescent="0.2">
      <c r="E19" s="80"/>
      <c r="F19" s="80"/>
      <c r="G19" s="80"/>
      <c r="M19" s="95"/>
      <c r="N19" s="96"/>
    </row>
    <row r="20" spans="2:14" x14ac:dyDescent="0.2">
      <c r="M20" s="95"/>
      <c r="N20" s="96"/>
    </row>
    <row r="21" spans="2:14" x14ac:dyDescent="0.2">
      <c r="B21" s="79" t="s">
        <v>104</v>
      </c>
      <c r="M21" s="95"/>
      <c r="N21" s="96"/>
    </row>
    <row r="22" spans="2:14" x14ac:dyDescent="0.2">
      <c r="M22" s="95"/>
      <c r="N22" s="96"/>
    </row>
    <row r="23" spans="2:14" x14ac:dyDescent="0.2">
      <c r="M23" s="97"/>
      <c r="N23" s="98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2020-04-16T17:08:29Z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