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Users\hjpou\Documents\Dev_PC\"/>
    </mc:Choice>
  </mc:AlternateContent>
  <xr:revisionPtr revIDLastSave="0" documentId="13_ncr:1_{7895051E-B907-4E63-B8AF-FE65C276EEFB}" xr6:coauthVersionLast="46" xr6:coauthVersionMax="47" xr10:uidLastSave="{00000000-0000-0000-0000-000000000000}"/>
  <bookViews>
    <workbookView xWindow="1950" yWindow="0" windowWidth="19230" windowHeight="21150" tabRatio="744" activeTab="2" xr2:uid="{00000000-000D-0000-FFFF-FFFF00000000}"/>
  </bookViews>
  <sheets>
    <sheet name="Tuto-Import" sheetId="19" r:id="rId1"/>
    <sheet name="Tuto-Export" sheetId="20" r:id="rId2"/>
    <sheet name="Accueil" sheetId="17" r:id="rId3"/>
    <sheet name="Trajets" sheetId="12" r:id="rId4"/>
    <sheet name="Donnees-Recap" sheetId="21" r:id="rId5"/>
  </sheets>
  <functionGroups builtInGroupCount="19"/>
  <definedNames>
    <definedName name="_xlnm._FilterDatabase" localSheetId="3" hidden="1">Trajets!$A$3:$CW$2677</definedName>
  </definedNames>
  <calcPr calcId="191029"/>
  <pivotCaches>
    <pivotCache cacheId="0" r:id="rId6"/>
  </pivotCaches>
</workbook>
</file>

<file path=xl/calcChain.xml><?xml version="1.0" encoding="utf-8"?>
<calcChain xmlns="http://schemas.openxmlformats.org/spreadsheetml/2006/main">
  <c r="H55" i="21" l="1"/>
  <c r="I51" i="21" s="1"/>
  <c r="F55" i="21"/>
  <c r="G24" i="21" s="1"/>
  <c r="F1" i="21"/>
  <c r="H1" i="17"/>
  <c r="I4" i="17"/>
  <c r="G34" i="21" l="1"/>
  <c r="G47" i="21"/>
  <c r="G45" i="21"/>
  <c r="I36" i="21"/>
  <c r="I5" i="21"/>
  <c r="I38" i="21"/>
  <c r="I19" i="21"/>
  <c r="G40" i="21"/>
  <c r="I44" i="21"/>
  <c r="I34" i="21"/>
  <c r="I11" i="21"/>
  <c r="I33" i="21"/>
  <c r="I53" i="21"/>
  <c r="I39" i="21"/>
  <c r="I35" i="21"/>
  <c r="I15" i="21"/>
  <c r="I4" i="21"/>
  <c r="I12" i="21"/>
  <c r="I40" i="21"/>
  <c r="I20" i="21"/>
  <c r="I14" i="21"/>
  <c r="I49" i="21"/>
  <c r="I27" i="21"/>
  <c r="I8" i="21"/>
  <c r="I26" i="21"/>
  <c r="I21" i="21"/>
  <c r="I25" i="21"/>
  <c r="I32" i="21"/>
  <c r="I31" i="21"/>
  <c r="I42" i="21"/>
  <c r="I24" i="21"/>
  <c r="I46" i="21"/>
  <c r="I10" i="21"/>
  <c r="I13" i="21"/>
  <c r="I17" i="21"/>
  <c r="I23" i="21"/>
  <c r="I22" i="21"/>
  <c r="G31" i="21"/>
  <c r="G33" i="21"/>
  <c r="G9" i="21"/>
  <c r="G50" i="21"/>
  <c r="G38" i="21"/>
  <c r="G42" i="21"/>
  <c r="G17" i="21"/>
  <c r="G14" i="21"/>
  <c r="G46" i="21"/>
  <c r="G44" i="21"/>
  <c r="G7" i="21"/>
  <c r="G35" i="21"/>
  <c r="G43" i="21"/>
  <c r="G30" i="21"/>
  <c r="G39" i="21"/>
  <c r="G25" i="21"/>
  <c r="I52" i="21"/>
  <c r="I6" i="21"/>
  <c r="G12" i="21"/>
  <c r="G48" i="21"/>
  <c r="G32" i="21"/>
  <c r="G51" i="21"/>
  <c r="G37" i="21"/>
  <c r="G23" i="21"/>
  <c r="G53" i="21"/>
  <c r="G49" i="21"/>
  <c r="G41" i="21"/>
  <c r="G36" i="21"/>
  <c r="I47" i="21"/>
  <c r="I50" i="21"/>
  <c r="I37" i="21"/>
  <c r="G27" i="21"/>
  <c r="G15" i="21"/>
  <c r="I48" i="21"/>
  <c r="I30" i="21"/>
  <c r="I16" i="21"/>
  <c r="I41" i="21"/>
  <c r="I18" i="21"/>
  <c r="I29" i="21"/>
  <c r="I43" i="21"/>
  <c r="I45" i="21"/>
  <c r="I28" i="21"/>
  <c r="I7" i="21"/>
  <c r="G20" i="21"/>
  <c r="G16" i="21"/>
  <c r="I9" i="21"/>
  <c r="G5" i="21"/>
  <c r="G22" i="21"/>
  <c r="G52" i="21"/>
  <c r="G29" i="21"/>
  <c r="G21" i="21"/>
  <c r="G13" i="21"/>
  <c r="G8" i="21"/>
  <c r="G18" i="21"/>
  <c r="G6" i="21"/>
  <c r="G4" i="21"/>
  <c r="G19" i="21"/>
  <c r="G11" i="21"/>
  <c r="G28" i="21"/>
  <c r="G26" i="21"/>
  <c r="G10" i="21"/>
</calcChain>
</file>

<file path=xl/sharedStrings.xml><?xml version="1.0" encoding="utf-8"?>
<sst xmlns="http://schemas.openxmlformats.org/spreadsheetml/2006/main" count="202" uniqueCount="168">
  <si>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</si>
  <si>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</si>
  <si>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</si>
  <si>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</si>
  <si>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</si>
  <si>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</si>
  <si>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</si>
  <si>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</si>
  <si>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</si>
  <si>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</si>
  <si>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</si>
  <si>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</si>
  <si>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</si>
  <si>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</si>
  <si>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</si>
  <si>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</si>
  <si>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</si>
  <si>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</si>
  <si>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</si>
  <si>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</si>
  <si>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</si>
  <si>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</si>
  <si>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</si>
  <si>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</si>
  <si>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</si>
  <si>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</si>
  <si>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</si>
  <si>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</si>
  <si>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</si>
  <si>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</si>
  <si>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</si>
  <si>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</si>
  <si>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</si>
  <si>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</si>
  <si>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</si>
  <si>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</si>
  <si>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</si>
  <si>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</si>
  <si>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</si>
  <si>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</si>
  <si>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</si>
  <si>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</si>
  <si>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</si>
  <si>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</si>
  <si>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</si>
  <si>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</si>
  <si>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</si>
  <si>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</si>
  <si>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</si>
  <si>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</si>
  <si>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</si>
  <si>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</si>
  <si>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</si>
  <si>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</si>
  <si>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</si>
  <si>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distance (km)</t>
  </si>
  <si>
    <t>Début</t>
  </si>
  <si>
    <t>Fin</t>
  </si>
  <si>
    <t>Jour</t>
  </si>
  <si>
    <t>Mois</t>
  </si>
  <si>
    <t>Dist max / j</t>
  </si>
  <si>
    <t>Distance Mensuelle (km)</t>
  </si>
  <si>
    <t>Distance du jour (km)</t>
  </si>
  <si>
    <t>Nb. Trajets</t>
  </si>
  <si>
    <t>Total km :</t>
  </si>
  <si>
    <t>Autonomie restante (km)</t>
  </si>
  <si>
    <t>Chemin d'accès du fichier :</t>
  </si>
  <si>
    <t>VIN(s)</t>
  </si>
  <si>
    <t>Distance totale</t>
  </si>
  <si>
    <t>Distance trajet</t>
  </si>
  <si>
    <t>Conso L/100 km</t>
  </si>
  <si>
    <t>Conso L/trajet</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</si>
  <si>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</si>
  <si>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</si>
  <si>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</si>
  <si>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</si>
  <si>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</si>
  <si>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</si>
  <si>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</si>
  <si>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</si>
  <si>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</si>
  <si>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</si>
  <si>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</si>
  <si>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Vous pouvez modifier ici la description des véhicules, mais ne changer par les VINs et leur nombre !</t>
  </si>
  <si>
    <t>Coordonnées</t>
  </si>
  <si>
    <t>Longitude :</t>
  </si>
  <si>
    <t>Latitude :</t>
  </si>
  <si>
    <t xml:space="preserve">Dernière adresse connue </t>
  </si>
  <si>
    <t>Ceci ne fonctionne que si UN seul VIN est sélectionné dans le tableau en F3</t>
  </si>
  <si>
    <t>Km début trajet</t>
  </si>
  <si>
    <t>Distance</t>
  </si>
  <si>
    <t>Jours avant maintenance</t>
  </si>
  <si>
    <t>Distance avant maintenance</t>
  </si>
  <si>
    <t>Maintenance faite</t>
  </si>
  <si>
    <t>Dans ces colonnes figurera des données peu utile au quotidien, mais utilisées pour reconstruire le fichier JSON de données.</t>
  </si>
  <si>
    <t>Marque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</si>
  <si>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</si>
  <si>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</si>
  <si>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</si>
  <si>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</si>
  <si>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</si>
  <si>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</si>
  <si>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</si>
  <si>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</si>
  <si>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</si>
  <si>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</si>
  <si>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Légende couleurs utilisées dans le détail des trajets</t>
  </si>
  <si>
    <t>Texte en vert/gras</t>
  </si>
  <si>
    <t>Signifie qu'un plein a été détecté</t>
  </si>
  <si>
    <t>Valeur reconstituée par programme suite à valeur manquante ou erronée</t>
  </si>
  <si>
    <t>Fond en orange</t>
  </si>
  <si>
    <t>Adresses recalculées par le programme</t>
  </si>
  <si>
    <t>Texte en rouge/gras</t>
  </si>
  <si>
    <t>Texte en bleu/gras</t>
  </si>
  <si>
    <t>Signifie que des valeurs sont manquantes ou son aberrantes</t>
  </si>
  <si>
    <r>
      <t xml:space="preserve">// </t>
    </r>
    <r>
      <rPr>
        <sz val="11"/>
        <rFont val="Calibri"/>
        <family val="2"/>
        <scheme val="minor"/>
      </rPr>
      <t>pour 
Conso L/100 km</t>
    </r>
  </si>
  <si>
    <t>Signifie que la valeur ne peut être calculée pour une consomation au 100km parce que la distance parcourue ou la consommation L est nulle ou trop faible.</t>
  </si>
  <si>
    <t>Explications de certaines valeurs écrites</t>
  </si>
  <si>
    <t>\\ NC</t>
  </si>
  <si>
    <t>Texte en rose/gras</t>
  </si>
  <si>
    <t>Signifie que des valeurs n'ont pas pu être reconstituées</t>
  </si>
  <si>
    <t>Réserve atteinte</t>
  </si>
  <si>
    <t>Signifie que la valeur importée vallait -1 dans le fichier de données.</t>
  </si>
  <si>
    <t>Signifie que la valeur n'a pas pu être calculée.</t>
  </si>
  <si>
    <r>
      <t>//</t>
    </r>
    <r>
      <rPr>
        <sz val="11"/>
        <rFont val="Calibri"/>
        <family val="2"/>
        <scheme val="minor"/>
      </rPr>
      <t xml:space="preserve"> pour autonomie</t>
    </r>
  </si>
  <si>
    <t>La réserve est atteinre (valeur de -1 dans le fichier de données).</t>
  </si>
  <si>
    <t>Vérif dist traj + km début = dist totale</t>
  </si>
  <si>
    <t>Vérif distance trajet = et distance save</t>
  </si>
  <si>
    <t>Vérif distance totale = début trajet + 1</t>
  </si>
  <si>
    <t>Thermique</t>
  </si>
  <si>
    <t>Electrique</t>
  </si>
  <si>
    <t>Départ</t>
  </si>
  <si>
    <t>Arrivée</t>
  </si>
  <si>
    <t>Latitude</t>
  </si>
  <si>
    <t>Longitude</t>
  </si>
  <si>
    <t>Adresse</t>
  </si>
  <si>
    <t>Niveau
batterie</t>
  </si>
  <si>
    <t>Autonomie
Electrique</t>
  </si>
  <si>
    <t>%trajet
en EV</t>
  </si>
  <si>
    <t>Durée (hh:mm:ss)</t>
  </si>
  <si>
    <t>Destination</t>
  </si>
  <si>
    <t>Rue</t>
  </si>
  <si>
    <t>N° rue</t>
  </si>
  <si>
    <t>Ville</t>
  </si>
  <si>
    <t>Code postal</t>
  </si>
  <si>
    <t>Pays</t>
  </si>
  <si>
    <t>Quality</t>
  </si>
  <si>
    <t>Altitude</t>
  </si>
  <si>
    <t>Intersection</t>
  </si>
  <si>
    <t>Km</t>
  </si>
  <si>
    <t>Date</t>
  </si>
  <si>
    <t>Niveau carburant</t>
  </si>
  <si>
    <t>Prix carburant</t>
  </si>
  <si>
    <t>Prix EV</t>
  </si>
  <si>
    <t>Source</t>
  </si>
  <si>
    <t>Catégorie</t>
  </si>
  <si>
    <t>Type énergie</t>
  </si>
  <si>
    <t>Consom EV</t>
  </si>
  <si>
    <t>Date ISO8601</t>
  </si>
  <si>
    <t>Maintenance</t>
  </si>
  <si>
    <t>Travel Time</t>
  </si>
  <si>
    <t>Alertes</t>
  </si>
  <si>
    <t>Kwh/100</t>
  </si>
  <si>
    <t>Capacité batterie
BEV/PHEV (en Kwh)</t>
  </si>
  <si>
    <t>(Plusieurs éléments)</t>
  </si>
  <si>
    <t>Privacy</t>
  </si>
  <si>
    <t>Param calcul kwh/100</t>
  </si>
  <si>
    <t>v3.2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</si>
</sst>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000"/>
    <numFmt numFmtId="166" formatCode="dd/mm/yy;@"/>
    <numFmt numFmtId="167" formatCode="dd/mm/yy\ \-\ hh:mm"/>
    <numFmt numFmtId="168" formatCode="0\ %"/>
  </numFmts>
  <fonts count="50"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8"/>
      <name val="Calibri"/>
      <family val="2"/>
    </font>
    <font>
      <sz val="10"/>
      <name val="Arial"/>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8"/>
      <name val="Calibri"/>
      <family val="2"/>
      <scheme val="minor"/>
    </font>
    <font>
      <sz val="8"/>
      <color theme="0"/>
      <name val="Calibri"/>
      <family val="2"/>
      <scheme val="minor"/>
    </font>
    <font>
      <b/>
      <sz val="10"/>
      <color rgb="FF00B050"/>
      <name val="Calibri"/>
      <family val="2"/>
    </font>
    <font>
      <b/>
      <sz val="11"/>
      <color rgb="FFFF0000"/>
      <name val="Calibri"/>
      <family val="2"/>
      <scheme val="minor"/>
    </font>
    <font>
      <b/>
      <sz val="11"/>
      <color rgb="FF00B050"/>
      <name val="Calibri"/>
      <family val="2"/>
      <scheme val="minor"/>
    </font>
    <font>
      <b/>
      <u/>
      <sz val="11"/>
      <name val="Calibri"/>
      <family val="2"/>
      <scheme val="minor"/>
    </font>
    <font>
      <b/>
      <sz val="11"/>
      <color rgb="FF4100C2"/>
      <name val="Calibri"/>
      <family val="2"/>
      <scheme val="minor"/>
    </font>
    <font>
      <b/>
      <sz val="11"/>
      <color rgb="FFC0008E"/>
      <name val="Calibri"/>
      <family val="2"/>
      <scheme val="minor"/>
    </font>
    <font>
      <b/>
      <i/>
      <sz val="11"/>
      <color rgb="FFFF0000"/>
      <name val="Calibri"/>
      <family val="2"/>
      <scheme val="minor"/>
    </font>
    <font>
      <b/>
      <sz val="11"/>
      <color rgb="FFC00000"/>
      <name val="Calibri"/>
      <family val="2"/>
      <scheme val="minor"/>
    </font>
    <font>
      <sz val="12"/>
      <color rgb="FF000080"/>
      <name val="Calibri"/>
      <family val="2"/>
    </font>
    <font>
      <sz val="12"/>
      <color rgb="FF008000"/>
      <name val="Calibri"/>
      <family val="2"/>
    </font>
    <font>
      <sz val="11"/>
      <color rgb="FF993300"/>
      <name val="Calibri"/>
      <family val="2"/>
    </font>
    <font>
      <sz val="12"/>
      <color rgb="FF333333"/>
      <name val="Calibri"/>
      <family val="2"/>
    </font>
    <font>
      <sz val="12"/>
      <color rgb="FF0000FF"/>
      <name val="Calibri"/>
      <family val="2"/>
    </font>
    <font>
      <sz val="11"/>
      <color rgb="FFFF0000"/>
      <name val="Calibri"/>
      <family val="2"/>
    </font>
    <font>
      <sz val="11"/>
      <color rgb="FFFF9900"/>
      <name val="Calibri"/>
      <family val="2"/>
    </font>
    <font>
      <sz val="10"/>
      <color rgb="FF000080"/>
      <name val="Calibri"/>
      <family val="2"/>
    </font>
    <font>
      <b/>
      <sz val="10"/>
      <color rgb="FF000080"/>
      <name val="Calibri"/>
      <family val="2"/>
    </font>
    <font>
      <i/>
      <sz val="12"/>
      <name val="Calibri"/>
      <family val="2"/>
    </font>
    <font>
      <i/>
      <sz val="10"/>
      <name val="Arial"/>
      <family val="2"/>
    </font>
    <font>
      <sz val="10"/>
      <color rgb="FF333333"/>
      <name val="Calibri"/>
      <family val="2"/>
    </font>
  </fonts>
  <fills count="22">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rgb="FFFFC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9" tint="0.79998168889431442"/>
        <bgColor indexed="64"/>
      </patternFill>
    </fill>
  </fills>
  <borders count="43">
    <border>
      <left/>
      <right/>
      <top/>
      <bottom/>
      <diagonal/>
    </border>
    <border>
      <left style="thin">
        <color indexed="64"/>
      </left>
      <right/>
      <top/>
      <bottom/>
      <diagonal/>
    </border>
    <border>
      <left/>
      <right style="dotted">
        <color auto="1"/>
      </right>
      <top/>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hair">
        <color auto="1"/>
      </left>
      <right/>
      <top style="hair">
        <color auto="1"/>
      </top>
      <bottom style="hair">
        <color auto="1"/>
      </bottom>
      <diagonal/>
    </border>
    <border>
      <left style="thin">
        <color theme="0"/>
      </left>
      <right style="thin">
        <color theme="0"/>
      </right>
      <top style="thin">
        <color theme="0"/>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right style="thin">
        <color indexed="64"/>
      </right>
      <top style="thin">
        <color theme="0"/>
      </top>
      <bottom style="thin">
        <color theme="0"/>
      </bottom>
      <diagonal/>
    </border>
  </borders>
  <cellStyleXfs count="2">
    <xf numFmtId="0" fontId="0" fillId="0" borderId="0"/>
    <xf numFmtId="0" fontId="9" fillId="0" borderId="0"/>
  </cellStyleXfs>
  <cellXfs count="185">
    <xf numFmtId="0" fontId="0" fillId="0" borderId="0" xfId="0"/>
    <xf numFmtId="0" fontId="1" fillId="0" borderId="0" xfId="0" applyFont="1" applyAlignment="1">
      <alignment horizontal="center" vertical="center"/>
    </xf>
    <xf numFmtId="166" fontId="6" fillId="2" borderId="0" xfId="0" applyNumberFormat="1" applyFont="1" applyFill="1" applyAlignment="1">
      <alignment horizontal="center"/>
    </xf>
    <xf numFmtId="49" fontId="6" fillId="2" borderId="0" xfId="0" applyNumberFormat="1" applyFont="1" applyFill="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6" fillId="6" borderId="0" xfId="0" applyNumberFormat="1" applyFont="1" applyFill="1" applyAlignment="1">
      <alignment horizontal="right"/>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2" fontId="1" fillId="0" borderId="4" xfId="0" applyNumberFormat="1" applyFont="1" applyBorder="1" applyAlignment="1">
      <alignment horizontal="center" vertical="center"/>
    </xf>
    <xf numFmtId="164" fontId="1" fillId="0" borderId="5" xfId="0" applyNumberFormat="1" applyFont="1" applyBorder="1" applyAlignment="1">
      <alignment horizontal="center" vertical="center"/>
    </xf>
    <xf numFmtId="167" fontId="1" fillId="0" borderId="0" xfId="0" applyNumberFormat="1" applyFont="1" applyAlignment="1">
      <alignment horizontal="center" vertical="center"/>
    </xf>
    <xf numFmtId="0" fontId="1" fillId="0" borderId="7" xfId="0" applyFont="1" applyBorder="1" applyAlignment="1">
      <alignment horizontal="center" vertical="center"/>
    </xf>
    <xf numFmtId="168" fontId="1" fillId="0" borderId="0" xfId="0" applyNumberFormat="1" applyFont="1" applyAlignment="1">
      <alignment horizontal="center" vertical="center"/>
    </xf>
    <xf numFmtId="0" fontId="4" fillId="2" borderId="0" xfId="0" applyFont="1" applyFill="1" applyAlignment="1">
      <alignment horizontal="center" vertical="center"/>
    </xf>
    <xf numFmtId="2" fontId="4" fillId="2" borderId="0" xfId="0" applyNumberFormat="1" applyFont="1" applyFill="1" applyAlignment="1">
      <alignment horizontal="left" vertical="center"/>
    </xf>
    <xf numFmtId="0" fontId="4" fillId="2" borderId="0" xfId="0" applyFont="1" applyFill="1" applyAlignment="1">
      <alignment horizontal="left" vertical="center"/>
    </xf>
    <xf numFmtId="0" fontId="3" fillId="4" borderId="0" xfId="0" applyFont="1" applyFill="1" applyAlignment="1">
      <alignment vertical="center"/>
    </xf>
    <xf numFmtId="167" fontId="5" fillId="3" borderId="6" xfId="0" applyNumberFormat="1" applyFont="1" applyFill="1" applyBorder="1" applyAlignment="1">
      <alignment horizontal="center" vertical="center" wrapText="1"/>
    </xf>
    <xf numFmtId="0" fontId="5" fillId="3" borderId="6" xfId="0" applyFont="1" applyFill="1" applyBorder="1" applyAlignment="1">
      <alignment horizontal="center" vertical="center" wrapText="1"/>
    </xf>
    <xf numFmtId="0" fontId="1" fillId="2" borderId="0" xfId="0" applyFont="1" applyFill="1" applyAlignment="1">
      <alignment horizontal="center" vertical="center" wrapText="1"/>
    </xf>
    <xf numFmtId="0" fontId="4" fillId="2" borderId="0" xfId="0" applyFont="1" applyFill="1" applyAlignment="1">
      <alignment horizontal="center" vertical="center" wrapText="1"/>
    </xf>
    <xf numFmtId="0" fontId="4" fillId="2" borderId="7" xfId="0" applyFont="1" applyFill="1" applyBorder="1" applyAlignment="1">
      <alignment horizontal="center" vertical="center" wrapText="1"/>
    </xf>
    <xf numFmtId="0" fontId="2" fillId="3" borderId="6" xfId="0" applyFont="1" applyFill="1" applyBorder="1" applyAlignment="1">
      <alignment horizontal="center" vertical="center" wrapText="1"/>
    </xf>
    <xf numFmtId="0" fontId="1" fillId="2" borderId="0" xfId="0" applyFont="1" applyFill="1" applyAlignment="1">
      <alignment horizontal="left" vertical="center"/>
    </xf>
    <xf numFmtId="0" fontId="9" fillId="9" borderId="0" xfId="1" applyFill="1"/>
    <xf numFmtId="0" fontId="13" fillId="9" borderId="0" xfId="1" applyFont="1" applyFill="1"/>
    <xf numFmtId="0" fontId="13" fillId="0" borderId="0" xfId="0" pivotButton="1" applyFont="1" applyAlignment="1">
      <alignment horizontal="center" vertical="center"/>
    </xf>
    <xf numFmtId="0" fontId="13" fillId="0" borderId="0" xfId="0" applyFont="1"/>
    <xf numFmtId="0" fontId="14" fillId="9" borderId="0" xfId="1" applyFont="1" applyFill="1" applyAlignment="1">
      <alignment vertical="center"/>
    </xf>
    <xf numFmtId="0" fontId="13" fillId="0" borderId="0" xfId="0" applyFont="1" applyAlignment="1">
      <alignment horizontal="center" vertical="center" wrapText="1"/>
    </xf>
    <xf numFmtId="0" fontId="13" fillId="0" borderId="0" xfId="0" applyFont="1" applyAlignment="1">
      <alignment horizontal="center" vertical="center"/>
    </xf>
    <xf numFmtId="0" fontId="12" fillId="10" borderId="12" xfId="0" applyFont="1" applyFill="1" applyBorder="1" applyAlignment="1">
      <alignment horizontal="center" vertical="center"/>
    </xf>
    <xf numFmtId="0" fontId="12" fillId="10" borderId="13" xfId="0" applyFont="1" applyFill="1" applyBorder="1" applyAlignment="1">
      <alignment horizontal="center" vertical="center"/>
    </xf>
    <xf numFmtId="0" fontId="13" fillId="0" borderId="8" xfId="0" applyFont="1" applyBorder="1" applyAlignment="1">
      <alignment horizontal="center" vertical="center"/>
    </xf>
    <xf numFmtId="0" fontId="13" fillId="0" borderId="9" xfId="0" applyFont="1" applyBorder="1" applyAlignment="1">
      <alignment horizontal="center" vertical="center"/>
    </xf>
    <xf numFmtId="0" fontId="13" fillId="0" borderId="1" xfId="0" applyFont="1" applyBorder="1" applyAlignment="1">
      <alignment horizontal="center" vertical="center"/>
    </xf>
    <xf numFmtId="0" fontId="13" fillId="0" borderId="7" xfId="0" applyFont="1" applyBorder="1" applyAlignment="1">
      <alignment horizontal="center" vertical="center"/>
    </xf>
    <xf numFmtId="0" fontId="13" fillId="9" borderId="1" xfId="1" applyFont="1" applyFill="1" applyBorder="1" applyAlignment="1">
      <alignment horizontal="center" vertical="center"/>
    </xf>
    <xf numFmtId="0" fontId="13" fillId="9" borderId="7" xfId="1" applyFont="1" applyFill="1" applyBorder="1" applyAlignment="1">
      <alignment horizontal="center" vertical="center"/>
    </xf>
    <xf numFmtId="0" fontId="13" fillId="9" borderId="10" xfId="1" applyFont="1" applyFill="1" applyBorder="1" applyAlignment="1">
      <alignment horizontal="center" vertical="center"/>
    </xf>
    <xf numFmtId="0" fontId="13" fillId="9" borderId="11" xfId="1" applyFont="1" applyFill="1" applyBorder="1" applyAlignment="1">
      <alignment horizontal="center" vertical="center"/>
    </xf>
    <xf numFmtId="0" fontId="13" fillId="9" borderId="0" xfId="1" applyFont="1" applyFill="1" applyAlignment="1">
      <alignment horizontal="center" vertical="center"/>
    </xf>
    <xf numFmtId="0" fontId="15" fillId="7" borderId="0" xfId="1" applyFont="1" applyFill="1" applyAlignment="1">
      <alignment horizontal="right" vertical="center"/>
    </xf>
    <xf numFmtId="0" fontId="15" fillId="7" borderId="0" xfId="1" applyFont="1" applyFill="1" applyAlignment="1">
      <alignment horizontal="right"/>
    </xf>
    <xf numFmtId="0" fontId="8" fillId="11" borderId="21" xfId="0" applyFont="1" applyFill="1" applyBorder="1" applyAlignment="1">
      <alignment horizontal="center" vertical="center" wrapText="1"/>
    </xf>
    <xf numFmtId="0" fontId="8" fillId="11" borderId="22" xfId="0" applyFont="1" applyFill="1" applyBorder="1" applyAlignment="1">
      <alignment horizontal="center" vertical="center" wrapText="1"/>
    </xf>
    <xf numFmtId="0" fontId="8" fillId="11" borderId="0" xfId="0" applyFont="1" applyFill="1" applyAlignment="1">
      <alignment horizontal="center" vertical="center"/>
    </xf>
    <xf numFmtId="0" fontId="12" fillId="10" borderId="23" xfId="0" applyFont="1" applyFill="1" applyBorder="1" applyAlignment="1">
      <alignment horizontal="center" vertical="center"/>
    </xf>
    <xf numFmtId="0" fontId="13" fillId="0" borderId="24" xfId="0" applyFont="1" applyBorder="1" applyAlignment="1">
      <alignment horizontal="center" vertical="center"/>
    </xf>
    <xf numFmtId="0" fontId="13" fillId="9" borderId="20" xfId="1" applyFont="1" applyFill="1" applyBorder="1" applyAlignment="1">
      <alignment horizontal="center" vertical="center"/>
    </xf>
    <xf numFmtId="0" fontId="17" fillId="12" borderId="25" xfId="0" applyFont="1" applyFill="1" applyBorder="1" applyAlignment="1">
      <alignment horizontal="center" vertical="center" wrapText="1"/>
    </xf>
    <xf numFmtId="0" fontId="8" fillId="11" borderId="22" xfId="0" applyFont="1" applyFill="1" applyBorder="1" applyAlignment="1">
      <alignment horizontal="center" vertical="center"/>
    </xf>
    <xf numFmtId="0" fontId="1" fillId="9" borderId="0" xfId="0" applyFont="1" applyFill="1" applyAlignment="1">
      <alignment horizontal="center" vertical="center"/>
    </xf>
    <xf numFmtId="0" fontId="1" fillId="9" borderId="0" xfId="0" applyFont="1" applyFill="1" applyAlignment="1">
      <alignment horizontal="center" vertical="center" wrapText="1"/>
    </xf>
    <xf numFmtId="0" fontId="7" fillId="9" borderId="0" xfId="1" applyFont="1" applyFill="1"/>
    <xf numFmtId="0" fontId="19" fillId="9" borderId="0" xfId="1" applyFont="1" applyFill="1"/>
    <xf numFmtId="0" fontId="20" fillId="9" borderId="0" xfId="1" applyFont="1" applyFill="1"/>
    <xf numFmtId="49" fontId="21" fillId="9" borderId="32" xfId="1" applyNumberFormat="1" applyFont="1" applyFill="1" applyBorder="1" applyAlignment="1">
      <alignment horizontal="justify" vertical="center"/>
    </xf>
    <xf numFmtId="49" fontId="21" fillId="9" borderId="0" xfId="1" applyNumberFormat="1" applyFont="1" applyFill="1" applyAlignment="1">
      <alignment horizontal="justify" vertical="center"/>
    </xf>
    <xf numFmtId="49" fontId="21" fillId="9" borderId="33" xfId="1" applyNumberFormat="1" applyFont="1" applyFill="1" applyBorder="1" applyAlignment="1">
      <alignment horizontal="justify" vertical="center"/>
    </xf>
    <xf numFmtId="49" fontId="21" fillId="9" borderId="32" xfId="1" applyNumberFormat="1" applyFont="1" applyFill="1" applyBorder="1"/>
    <xf numFmtId="0" fontId="18" fillId="9" borderId="32" xfId="1" applyFont="1" applyFill="1" applyBorder="1"/>
    <xf numFmtId="0" fontId="18" fillId="9" borderId="34" xfId="1" applyFont="1" applyFill="1" applyBorder="1"/>
    <xf numFmtId="49" fontId="27" fillId="7" borderId="0" xfId="1" applyNumberFormat="1" applyFont="1" applyFill="1" applyAlignment="1">
      <alignment horizontal="left" vertical="center"/>
    </xf>
    <xf numFmtId="1" fontId="13" fillId="13" borderId="0" xfId="0" applyNumberFormat="1" applyFont="1" applyFill="1" applyAlignment="1">
      <alignment horizontal="center" vertical="center"/>
    </xf>
    <xf numFmtId="2" fontId="9" fillId="13" borderId="0" xfId="0" applyNumberFormat="1" applyFont="1" applyFill="1" applyAlignment="1">
      <alignment horizontal="center"/>
    </xf>
    <xf numFmtId="0" fontId="12" fillId="13" borderId="0" xfId="0" applyFont="1" applyFill="1" applyAlignment="1">
      <alignment horizontal="right" vertical="center"/>
    </xf>
    <xf numFmtId="0" fontId="13" fillId="13" borderId="0" xfId="0" applyFont="1" applyFill="1" applyAlignment="1">
      <alignment horizontal="left" vertical="center"/>
    </xf>
    <xf numFmtId="0" fontId="8" fillId="11" borderId="0" xfId="0" applyFont="1" applyFill="1" applyAlignment="1">
      <alignment horizontal="left" vertical="center"/>
    </xf>
    <xf numFmtId="49" fontId="6" fillId="5" borderId="0" xfId="0" applyNumberFormat="1" applyFont="1" applyFill="1" applyAlignment="1">
      <alignment horizontal="center"/>
    </xf>
    <xf numFmtId="49" fontId="6" fillId="6" borderId="0" xfId="0" applyNumberFormat="1" applyFont="1" applyFill="1" applyAlignment="1">
      <alignment horizontal="center"/>
    </xf>
    <xf numFmtId="49" fontId="7" fillId="7" borderId="0" xfId="0" applyNumberFormat="1" applyFont="1" applyFill="1" applyAlignment="1">
      <alignment horizontal="center"/>
    </xf>
    <xf numFmtId="49" fontId="6" fillId="6" borderId="0" xfId="0" applyNumberFormat="1" applyFont="1" applyFill="1" applyAlignment="1">
      <alignment horizontal="right"/>
    </xf>
    <xf numFmtId="49" fontId="7" fillId="0" borderId="0" xfId="0" applyNumberFormat="1" applyFont="1" applyAlignment="1">
      <alignment horizontal="center"/>
    </xf>
    <xf numFmtId="0" fontId="0" fillId="0" borderId="2" xfId="0" applyBorder="1"/>
    <xf numFmtId="164" fontId="6" fillId="2" borderId="7" xfId="0" applyNumberFormat="1" applyFont="1" applyFill="1" applyBorder="1" applyAlignment="1">
      <alignment horizontal="center"/>
    </xf>
    <xf numFmtId="0" fontId="0" fillId="0" borderId="7" xfId="0" applyBorder="1"/>
    <xf numFmtId="49" fontId="28" fillId="9" borderId="0" xfId="1" applyNumberFormat="1" applyFont="1" applyFill="1" applyAlignment="1">
      <alignment horizontal="center" vertical="center"/>
    </xf>
    <xf numFmtId="0" fontId="29" fillId="9" borderId="0" xfId="1" applyFont="1" applyFill="1" applyAlignment="1">
      <alignment horizontal="center" vertical="center"/>
    </xf>
    <xf numFmtId="49" fontId="1" fillId="0" borderId="0" xfId="0" applyNumberFormat="1" applyFont="1" applyAlignment="1">
      <alignment horizontal="left" vertical="center"/>
    </xf>
    <xf numFmtId="49" fontId="1" fillId="0" borderId="4" xfId="0" applyNumberFormat="1" applyFont="1" applyBorder="1" applyAlignment="1">
      <alignment horizontal="left" vertical="center"/>
    </xf>
    <xf numFmtId="49" fontId="1" fillId="0" borderId="5" xfId="0" applyNumberFormat="1" applyFont="1" applyBorder="1" applyAlignment="1">
      <alignment horizontal="left" vertical="center"/>
    </xf>
    <xf numFmtId="0" fontId="30" fillId="0" borderId="0" xfId="0" applyFont="1" applyAlignment="1">
      <alignment horizontal="center" vertical="center"/>
    </xf>
    <xf numFmtId="0" fontId="30" fillId="9" borderId="0" xfId="0" applyFont="1" applyFill="1" applyAlignment="1">
      <alignment horizontal="center" vertical="center"/>
    </xf>
    <xf numFmtId="0" fontId="13" fillId="9" borderId="0" xfId="1" applyFont="1" applyFill="1" applyAlignment="1">
      <alignment horizontal="left" vertical="center" wrapText="1"/>
    </xf>
    <xf numFmtId="0" fontId="32" fillId="9" borderId="26" xfId="1" applyFont="1" applyFill="1" applyBorder="1" applyAlignment="1">
      <alignment horizontal="center" vertical="center"/>
    </xf>
    <xf numFmtId="0" fontId="31" fillId="9" borderId="26" xfId="1" applyFont="1" applyFill="1" applyBorder="1" applyAlignment="1">
      <alignment horizontal="center" vertical="center"/>
    </xf>
    <xf numFmtId="0" fontId="34" fillId="9" borderId="26" xfId="1" applyFont="1" applyFill="1" applyBorder="1" applyAlignment="1">
      <alignment horizontal="center" vertical="center"/>
    </xf>
    <xf numFmtId="0" fontId="13" fillId="14" borderId="26" xfId="1" applyFont="1" applyFill="1" applyBorder="1" applyAlignment="1">
      <alignment horizontal="center" vertical="center"/>
    </xf>
    <xf numFmtId="0" fontId="1" fillId="15" borderId="0" xfId="0" applyFont="1" applyFill="1" applyAlignment="1">
      <alignment horizontal="center" vertical="center"/>
    </xf>
    <xf numFmtId="0" fontId="35" fillId="9" borderId="26" xfId="1" applyFont="1" applyFill="1" applyBorder="1" applyAlignment="1">
      <alignment horizontal="center" vertical="center"/>
    </xf>
    <xf numFmtId="0" fontId="36" fillId="9" borderId="37" xfId="1" applyFont="1" applyFill="1" applyBorder="1" applyAlignment="1">
      <alignment horizontal="center" vertical="center" wrapText="1"/>
    </xf>
    <xf numFmtId="0" fontId="35" fillId="9" borderId="37" xfId="1" applyFont="1" applyFill="1" applyBorder="1" applyAlignment="1">
      <alignment horizontal="center" vertical="center" wrapText="1"/>
    </xf>
    <xf numFmtId="0" fontId="37" fillId="9" borderId="37" xfId="1" applyFont="1" applyFill="1" applyBorder="1" applyAlignment="1">
      <alignment horizontal="center" vertical="center" wrapText="1"/>
    </xf>
    <xf numFmtId="20" fontId="13" fillId="9" borderId="0" xfId="1" applyNumberFormat="1" applyFont="1" applyFill="1"/>
    <xf numFmtId="165" fontId="5" fillId="3" borderId="38" xfId="0" applyNumberFormat="1" applyFont="1" applyFill="1" applyBorder="1" applyAlignment="1">
      <alignment horizontal="center" vertical="center" wrapText="1"/>
    </xf>
    <xf numFmtId="0" fontId="16" fillId="11" borderId="20" xfId="0" applyFont="1" applyFill="1" applyBorder="1" applyAlignment="1">
      <alignment horizontal="center" vertical="center"/>
    </xf>
    <xf numFmtId="9" fontId="4" fillId="2" borderId="0" xfId="0" applyNumberFormat="1" applyFont="1" applyFill="1" applyAlignment="1">
      <alignment horizontal="left" vertical="center"/>
    </xf>
    <xf numFmtId="9" fontId="5" fillId="3" borderId="6" xfId="0" applyNumberFormat="1" applyFont="1" applyFill="1" applyBorder="1" applyAlignment="1">
      <alignment horizontal="center" vertical="center" wrapText="1"/>
    </xf>
    <xf numFmtId="1" fontId="4" fillId="2" borderId="0" xfId="0" applyNumberFormat="1" applyFont="1" applyFill="1" applyAlignment="1">
      <alignment horizontal="left" vertical="center"/>
    </xf>
    <xf numFmtId="1" fontId="5" fillId="3" borderId="6" xfId="0" applyNumberFormat="1" applyFont="1" applyFill="1" applyBorder="1" applyAlignment="1">
      <alignment horizontal="center" vertical="center" wrapText="1"/>
    </xf>
    <xf numFmtId="1" fontId="1" fillId="0" borderId="0" xfId="0" applyNumberFormat="1" applyFont="1" applyAlignment="1">
      <alignment horizontal="center" vertical="center"/>
    </xf>
    <xf numFmtId="10" fontId="4" fillId="2" borderId="0" xfId="0" applyNumberFormat="1" applyFont="1" applyFill="1" applyAlignment="1">
      <alignment horizontal="center" vertical="center"/>
    </xf>
    <xf numFmtId="46" fontId="1" fillId="0" borderId="3" xfId="0" applyNumberFormat="1" applyFont="1" applyBorder="1" applyAlignment="1">
      <alignment horizontal="center" vertical="center"/>
    </xf>
    <xf numFmtId="168" fontId="1" fillId="0" borderId="4" xfId="0" applyNumberFormat="1" applyFont="1" applyBorder="1" applyAlignment="1">
      <alignment horizontal="center" vertical="center"/>
    </xf>
    <xf numFmtId="49" fontId="1" fillId="11" borderId="0" xfId="0" applyNumberFormat="1" applyFont="1" applyFill="1" applyAlignment="1">
      <alignment horizontal="left" vertical="center"/>
    </xf>
    <xf numFmtId="10" fontId="5" fillId="3" borderId="41" xfId="0" applyNumberFormat="1" applyFont="1" applyFill="1" applyBorder="1" applyAlignment="1">
      <alignment horizontal="center" vertical="center" wrapText="1"/>
    </xf>
    <xf numFmtId="0" fontId="1" fillId="4" borderId="0" xfId="0" applyFont="1" applyFill="1" applyAlignment="1">
      <alignment vertical="center" wrapText="1"/>
    </xf>
    <xf numFmtId="0" fontId="4" fillId="4" borderId="0" xfId="0" applyFont="1" applyFill="1" applyAlignment="1">
      <alignment horizontal="center" vertical="center"/>
    </xf>
    <xf numFmtId="0" fontId="5" fillId="3" borderId="40" xfId="0" applyFont="1" applyFill="1" applyBorder="1" applyAlignment="1">
      <alignment horizontal="center" vertical="center" wrapText="1"/>
    </xf>
    <xf numFmtId="10" fontId="5" fillId="3" borderId="42" xfId="0" applyNumberFormat="1" applyFont="1" applyFill="1" applyBorder="1" applyAlignment="1">
      <alignment horizontal="center" vertical="center" wrapText="1"/>
    </xf>
    <xf numFmtId="164" fontId="1" fillId="0" borderId="7" xfId="0" applyNumberFormat="1" applyFont="1" applyBorder="1" applyAlignment="1">
      <alignment horizontal="center" vertical="center"/>
    </xf>
    <xf numFmtId="164" fontId="13" fillId="13" borderId="0" xfId="0" applyNumberFormat="1" applyFont="1" applyFill="1" applyAlignment="1">
      <alignment horizontal="center" vertical="center"/>
    </xf>
    <xf numFmtId="2" fontId="13" fillId="13" borderId="0" xfId="0" applyNumberFormat="1" applyFont="1" applyFill="1" applyAlignment="1">
      <alignment horizontal="center" vertical="center"/>
    </xf>
    <xf numFmtId="0" fontId="8" fillId="0" borderId="0" xfId="0" applyFont="1" applyAlignment="1">
      <alignment horizontal="center" vertical="center"/>
    </xf>
    <xf numFmtId="49" fontId="24" fillId="9" borderId="29" xfId="1" applyNumberFormat="1" applyFont="1" applyFill="1" applyBorder="1" applyAlignment="1">
      <alignment horizontal="center" vertical="top"/>
    </xf>
    <xf numFmtId="49" fontId="24" fillId="9" borderId="30" xfId="1" applyNumberFormat="1" applyFont="1" applyFill="1" applyBorder="1" applyAlignment="1">
      <alignment horizontal="center" vertical="top"/>
    </xf>
    <xf numFmtId="49" fontId="24" fillId="9" borderId="31" xfId="1" applyNumberFormat="1" applyFont="1" applyFill="1" applyBorder="1" applyAlignment="1">
      <alignment horizontal="center" vertical="top"/>
    </xf>
    <xf numFmtId="49" fontId="24" fillId="9" borderId="32" xfId="1" applyNumberFormat="1" applyFont="1" applyFill="1" applyBorder="1" applyAlignment="1">
      <alignment horizontal="center" vertical="top"/>
    </xf>
    <xf numFmtId="49" fontId="24" fillId="9" borderId="0" xfId="1" applyNumberFormat="1" applyFont="1" applyFill="1" applyAlignment="1">
      <alignment horizontal="center" vertical="top"/>
    </xf>
    <xf numFmtId="49" fontId="24" fillId="9" borderId="33" xfId="1" applyNumberFormat="1" applyFont="1" applyFill="1" applyBorder="1" applyAlignment="1">
      <alignment horizontal="center" vertical="top"/>
    </xf>
    <xf numFmtId="49" fontId="21" fillId="9" borderId="32" xfId="1" applyNumberFormat="1" applyFont="1" applyFill="1" applyBorder="1" applyAlignment="1">
      <alignment horizontal="justify" vertical="center"/>
    </xf>
    <xf numFmtId="49" fontId="21" fillId="9" borderId="0" xfId="1" applyNumberFormat="1" applyFont="1" applyFill="1" applyAlignment="1">
      <alignment horizontal="justify" vertical="center"/>
    </xf>
    <xf numFmtId="49" fontId="21" fillId="9" borderId="33" xfId="1" applyNumberFormat="1" applyFont="1" applyFill="1" applyBorder="1" applyAlignment="1">
      <alignment horizontal="justify" vertical="center"/>
    </xf>
    <xf numFmtId="49" fontId="21" fillId="9" borderId="0" xfId="1" applyNumberFormat="1" applyFont="1" applyFill="1" applyAlignment="1">
      <alignment horizontal="justify" vertical="top" wrapText="1"/>
    </xf>
    <xf numFmtId="49" fontId="21" fillId="9" borderId="33" xfId="1" applyNumberFormat="1" applyFont="1" applyFill="1" applyBorder="1" applyAlignment="1">
      <alignment horizontal="justify" vertical="top" wrapText="1"/>
    </xf>
    <xf numFmtId="49" fontId="21" fillId="9" borderId="35" xfId="1" applyNumberFormat="1" applyFont="1" applyFill="1" applyBorder="1" applyAlignment="1">
      <alignment horizontal="justify" vertical="top" wrapText="1"/>
    </xf>
    <xf numFmtId="49" fontId="21" fillId="9" borderId="36" xfId="1" applyNumberFormat="1" applyFont="1" applyFill="1" applyBorder="1" applyAlignment="1">
      <alignment horizontal="justify" vertical="top" wrapText="1"/>
    </xf>
    <xf numFmtId="49" fontId="21" fillId="9" borderId="0" xfId="1" applyNumberFormat="1" applyFont="1" applyFill="1" applyAlignment="1">
      <alignment horizontal="justify" vertical="center" wrapText="1"/>
    </xf>
    <xf numFmtId="49" fontId="21" fillId="9" borderId="33" xfId="1" applyNumberFormat="1" applyFont="1" applyFill="1" applyBorder="1" applyAlignment="1">
      <alignment horizontal="justify" vertical="center" wrapText="1"/>
    </xf>
    <xf numFmtId="49" fontId="21" fillId="9" borderId="32" xfId="1" applyNumberFormat="1" applyFont="1" applyFill="1" applyBorder="1" applyAlignment="1">
      <alignment horizontal="justify" vertical="center" wrapText="1"/>
    </xf>
    <xf numFmtId="49" fontId="22" fillId="9" borderId="0" xfId="1" applyNumberFormat="1" applyFont="1" applyFill="1" applyAlignment="1">
      <alignment horizontal="justify" vertical="center" wrapText="1"/>
    </xf>
    <xf numFmtId="49" fontId="22" fillId="9" borderId="33" xfId="1" applyNumberFormat="1" applyFont="1" applyFill="1" applyBorder="1" applyAlignment="1">
      <alignment horizontal="justify" vertical="center" wrapText="1"/>
    </xf>
    <xf numFmtId="49" fontId="25" fillId="9" borderId="26" xfId="1" applyNumberFormat="1" applyFont="1" applyFill="1" applyBorder="1" applyAlignment="1">
      <alignment horizontal="center" vertical="center"/>
    </xf>
    <xf numFmtId="49" fontId="25" fillId="9" borderId="27" xfId="1" applyNumberFormat="1" applyFont="1" applyFill="1" applyBorder="1" applyAlignment="1">
      <alignment horizontal="center" vertical="center"/>
    </xf>
    <xf numFmtId="49" fontId="25" fillId="9" borderId="28" xfId="1" applyNumberFormat="1" applyFont="1" applyFill="1" applyBorder="1" applyAlignment="1">
      <alignment horizontal="center" vertical="center"/>
    </xf>
    <xf numFmtId="0" fontId="14" fillId="9" borderId="0" xfId="1" applyFont="1" applyFill="1" applyAlignment="1">
      <alignment horizontal="center" vertical="center" wrapText="1"/>
    </xf>
    <xf numFmtId="0" fontId="14" fillId="9" borderId="20" xfId="1" applyFont="1" applyFill="1" applyBorder="1" applyAlignment="1">
      <alignment horizontal="center" vertical="center" wrapText="1"/>
    </xf>
    <xf numFmtId="0" fontId="13" fillId="9" borderId="27" xfId="1" applyFont="1" applyFill="1" applyBorder="1" applyAlignment="1">
      <alignment horizontal="left" vertical="center"/>
    </xf>
    <xf numFmtId="0" fontId="13" fillId="9" borderId="28" xfId="1" applyFont="1" applyFill="1" applyBorder="1" applyAlignment="1">
      <alignment horizontal="left" vertical="center"/>
    </xf>
    <xf numFmtId="0" fontId="13" fillId="9" borderId="27" xfId="1" applyFont="1" applyFill="1" applyBorder="1" applyAlignment="1">
      <alignment horizontal="left" vertical="center" wrapText="1"/>
    </xf>
    <xf numFmtId="0" fontId="13" fillId="9" borderId="28" xfId="1" applyFont="1" applyFill="1" applyBorder="1" applyAlignment="1">
      <alignment horizontal="left" vertical="center" wrapText="1"/>
    </xf>
    <xf numFmtId="0" fontId="12" fillId="9" borderId="37" xfId="1" applyFont="1" applyFill="1" applyBorder="1" applyAlignment="1">
      <alignment horizontal="center" vertical="center" wrapText="1"/>
    </xf>
    <xf numFmtId="0" fontId="13" fillId="9" borderId="37" xfId="1" applyFont="1" applyFill="1" applyBorder="1" applyAlignment="1">
      <alignment horizontal="center" vertical="center" wrapText="1"/>
    </xf>
    <xf numFmtId="0" fontId="33" fillId="9" borderId="0" xfId="1" applyFont="1" applyFill="1" applyAlignment="1">
      <alignment horizontal="left" vertical="center"/>
    </xf>
    <xf numFmtId="0" fontId="12" fillId="6" borderId="19" xfId="1" applyFont="1" applyFill="1" applyBorder="1" applyAlignment="1">
      <alignment horizontal="center" vertical="center"/>
    </xf>
    <xf numFmtId="0" fontId="12" fillId="6" borderId="16" xfId="1" applyFont="1" applyFill="1" applyBorder="1" applyAlignment="1">
      <alignment horizontal="center" vertical="center"/>
    </xf>
    <xf numFmtId="49" fontId="7" fillId="7" borderId="0" xfId="0" applyNumberFormat="1" applyFont="1" applyFill="1" applyAlignment="1">
      <alignment horizontal="center" vertical="center" wrapText="1"/>
    </xf>
    <xf numFmtId="49" fontId="7" fillId="7" borderId="17" xfId="0" applyNumberFormat="1" applyFont="1" applyFill="1" applyBorder="1" applyAlignment="1">
      <alignment horizontal="center" vertical="center" wrapText="1"/>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47" fillId="19" borderId="20" xfId="0" applyFont="1" applyFill="1" applyBorder="1" applyAlignment="1">
      <alignment horizontal="center" vertical="center"/>
    </xf>
    <xf numFmtId="0" fontId="0" fillId="19" borderId="20" xfId="0" applyFill="1" applyBorder="1" applyAlignment="1">
      <alignment horizontal="center" vertical="center"/>
    </xf>
    <xf numFmtId="0" fontId="47" fillId="18" borderId="20" xfId="0" applyFont="1" applyFill="1" applyBorder="1" applyAlignment="1">
      <alignment horizontal="center" vertical="center"/>
    </xf>
    <xf numFmtId="0" fontId="0" fillId="18" borderId="20" xfId="0" applyFill="1" applyBorder="1" applyAlignment="1">
      <alignment horizontal="center" vertical="center"/>
    </xf>
    <xf numFmtId="0" fontId="16" fillId="11" borderId="10" xfId="0" applyFont="1" applyFill="1" applyBorder="1" applyAlignment="1">
      <alignment horizontal="center" vertical="center"/>
    </xf>
    <xf numFmtId="0" fontId="16" fillId="11" borderId="20" xfId="0" applyFont="1" applyFill="1" applyBorder="1" applyAlignment="1">
      <alignment horizontal="center" vertical="center"/>
    </xf>
    <xf numFmtId="0" fontId="16" fillId="11" borderId="20" xfId="0" applyFont="1" applyFill="1" applyBorder="1" applyAlignment="1">
      <alignment horizontal="left" vertical="center"/>
    </xf>
    <xf numFmtId="0" fontId="0" fillId="0" borderId="20" xfId="0" applyBorder="1" applyAlignment="1">
      <alignment vertical="center"/>
    </xf>
    <xf numFmtId="0" fontId="47" fillId="16" borderId="39" xfId="0" applyFont="1" applyFill="1" applyBorder="1" applyAlignment="1">
      <alignment horizontal="center" vertical="center"/>
    </xf>
    <xf numFmtId="0" fontId="48" fillId="16" borderId="39" xfId="0" applyFont="1" applyFill="1" applyBorder="1" applyAlignment="1">
      <alignment horizontal="center" vertical="center"/>
    </xf>
    <xf numFmtId="0" fontId="47" fillId="18" borderId="39" xfId="0" applyFont="1" applyFill="1" applyBorder="1" applyAlignment="1">
      <alignment horizontal="center" vertical="center"/>
    </xf>
    <xf numFmtId="0" fontId="48" fillId="18" borderId="39" xfId="0" applyFont="1" applyFill="1" applyBorder="1" applyAlignment="1">
      <alignment horizontal="center" vertical="center"/>
    </xf>
    <xf numFmtId="0" fontId="47" fillId="19" borderId="39" xfId="0" applyFont="1" applyFill="1" applyBorder="1" applyAlignment="1">
      <alignment horizontal="center" vertical="center"/>
    </xf>
    <xf numFmtId="0" fontId="48" fillId="19" borderId="39" xfId="0" applyFont="1" applyFill="1" applyBorder="1" applyAlignment="1">
      <alignment horizontal="center" vertical="center"/>
    </xf>
    <xf numFmtId="0" fontId="47" fillId="20" borderId="20" xfId="0" applyFont="1" applyFill="1" applyBorder="1" applyAlignment="1">
      <alignment horizontal="center" vertical="center"/>
    </xf>
    <xf numFmtId="0" fontId="48" fillId="20" borderId="20" xfId="0" applyFont="1" applyFill="1" applyBorder="1" applyAlignment="1">
      <alignment horizontal="center" vertical="center"/>
    </xf>
    <xf numFmtId="0" fontId="0" fillId="20" borderId="20" xfId="0" applyFill="1" applyBorder="1" applyAlignment="1">
      <alignment horizontal="center" vertical="center"/>
    </xf>
    <xf numFmtId="0" fontId="16" fillId="21" borderId="22" xfId="0" applyFont="1" applyFill="1" applyBorder="1" applyAlignment="1">
      <alignment horizontal="center" vertical="center"/>
    </xf>
    <xf numFmtId="0" fontId="0" fillId="21" borderId="22" xfId="0" applyFill="1" applyBorder="1" applyAlignment="1">
      <alignment horizontal="center" vertical="center"/>
    </xf>
    <xf numFmtId="0" fontId="47" fillId="17" borderId="39" xfId="0" applyFont="1" applyFill="1" applyBorder="1" applyAlignment="1">
      <alignment horizontal="center" vertical="center"/>
    </xf>
    <xf numFmtId="0" fontId="48" fillId="17" borderId="39" xfId="0" applyFont="1" applyFill="1" applyBorder="1" applyAlignment="1">
      <alignment horizontal="center" vertical="center"/>
    </xf>
    <xf numFmtId="10" fontId="0" fillId="17" borderId="39" xfId="0" applyNumberFormat="1" applyFill="1" applyBorder="1" applyAlignment="1">
      <alignment horizontal="center" vertical="center"/>
    </xf>
    <xf numFmtId="0" fontId="0" fillId="0" borderId="39" xfId="0" applyBorder="1" applyAlignment="1">
      <alignment horizontal="center" vertical="center"/>
    </xf>
    <xf numFmtId="0" fontId="10" fillId="8" borderId="14" xfId="1" applyNumberFormat="1" applyFont="1" applyFill="1" applyBorder="1" applyAlignment="1">
      <alignment horizontal="center" wrapText="1"/>
    </xf>
    <xf numFmtId="0" fontId="11" fillId="8" borderId="15" xfId="1" applyNumberFormat="1" applyFont="1" applyFill="1" applyBorder="1" applyAlignment="1">
      <alignment horizontal="center" vertical="top" wrapText="1"/>
    </xf>
  </cellXfs>
  <cellStyles count="2">
    <cellStyle name="Normal" xfId="0" builtinId="0"/>
    <cellStyle name="Normal 2" xfId="1" xr:uid="{00000000-0005-0000-0000-000001000000}"/>
  </cellStyles>
  <dxfs count="22">
    <dxf>
      <font>
        <color rgb="FF9C0006"/>
      </font>
    </dxf>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colors>
    <mruColors>
      <color rgb="FFC0008E"/>
      <color rgb="FF4100C2"/>
      <color rgb="FF00B05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95250</xdr:rowOff>
        </xdr:from>
        <xdr:to>
          <xdr:col>1</xdr:col>
          <xdr:colOff>476250</xdr:colOff>
          <xdr:row>3</xdr:row>
          <xdr:rowOff>104775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476250</xdr:colOff>
          <xdr:row>7</xdr:row>
          <xdr:rowOff>142875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2</xdr:row>
          <xdr:rowOff>219075</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95250</xdr:rowOff>
    </xdr:from>
    <xdr:to>
      <xdr:col>2</xdr:col>
      <xdr:colOff>123825</xdr:colOff>
      <xdr:row>22</xdr:row>
      <xdr:rowOff>123825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85825"/>
          <a:ext cx="1781175" cy="3695700"/>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180975</xdr:rowOff>
        </xdr:from>
        <xdr:to>
          <xdr:col>2</xdr:col>
          <xdr:colOff>38100</xdr:colOff>
          <xdr:row>8</xdr:row>
          <xdr:rowOff>57150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4</xdr:col>
      <xdr:colOff>0</xdr:colOff>
      <xdr:row>11</xdr:row>
      <xdr:rowOff>57150</xdr:rowOff>
    </xdr:from>
    <xdr:to>
      <xdr:col>5</xdr:col>
      <xdr:colOff>523875</xdr:colOff>
      <xdr:row>19</xdr:row>
      <xdr:rowOff>0</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2152650" y="2381250"/>
          <a:ext cx="1752600"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8</xdr:row>
          <xdr:rowOff>133350</xdr:rowOff>
        </xdr:from>
        <xdr:to>
          <xdr:col>2</xdr:col>
          <xdr:colOff>38100</xdr:colOff>
          <xdr:row>11</xdr:row>
          <xdr:rowOff>171450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12</xdr:row>
          <xdr:rowOff>57150</xdr:rowOff>
        </xdr:from>
        <xdr:to>
          <xdr:col>2</xdr:col>
          <xdr:colOff>38100</xdr:colOff>
          <xdr:row>15</xdr:row>
          <xdr:rowOff>66675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11</xdr:row>
          <xdr:rowOff>152400</xdr:rowOff>
        </xdr:from>
        <xdr:to>
          <xdr:col>5</xdr:col>
          <xdr:colOff>457200</xdr:colOff>
          <xdr:row>14</xdr:row>
          <xdr:rowOff>180975</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15</xdr:row>
          <xdr:rowOff>104775</xdr:rowOff>
        </xdr:from>
        <xdr:to>
          <xdr:col>2</xdr:col>
          <xdr:colOff>38100</xdr:colOff>
          <xdr:row>18</xdr:row>
          <xdr:rowOff>180975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76200</xdr:colOff>
          <xdr:row>15</xdr:row>
          <xdr:rowOff>38100</xdr:rowOff>
        </xdr:from>
        <xdr:to>
          <xdr:col>5</xdr:col>
          <xdr:colOff>457200</xdr:colOff>
          <xdr:row>18</xdr:row>
          <xdr:rowOff>114300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19</xdr:row>
          <xdr:rowOff>28575</xdr:rowOff>
        </xdr:from>
        <xdr:to>
          <xdr:col>2</xdr:col>
          <xdr:colOff>38100</xdr:colOff>
          <xdr:row>22</xdr:row>
          <xdr:rowOff>76200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200-000008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a:t>
              </a:r>
              <a:r>
                <a:rPr lang="fr-FR" sz="1100" b="0" i="0" u="none" strike="noStrike" baseline="0">
                  <a:solidFill>
                    <a:srgbClr val="FF9900"/>
                  </a:solidFill>
                  <a:latin typeface="Calibri"/>
                  <a:cs typeface="Calibri"/>
                </a:rPr>
                <a:t>Reconstituer les adresses manquantes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400050</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485775</xdr:colOff>
          <xdr:row>0</xdr:row>
          <xdr:rowOff>28575</xdr:rowOff>
        </xdr:from>
        <xdr:to>
          <xdr:col>20</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76200</xdr:colOff>
          <xdr:row>0</xdr:row>
          <xdr:rowOff>38100</xdr:rowOff>
        </xdr:from>
        <xdr:to>
          <xdr:col>71</xdr:col>
          <xdr:colOff>590550</xdr:colOff>
          <xdr:row>0</xdr:row>
          <xdr:rowOff>400050</xdr:rowOff>
        </xdr:to>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54</xdr:col>
          <xdr:colOff>828675</xdr:colOff>
          <xdr:row>0</xdr:row>
          <xdr:rowOff>38100</xdr:rowOff>
        </xdr:from>
        <xdr:to>
          <xdr:col>56</xdr:col>
          <xdr:colOff>438150</xdr:colOff>
          <xdr:row>1</xdr:row>
          <xdr:rowOff>104775</xdr:rowOff>
        </xdr:to>
        <xdr:sp macro="" textlink="">
          <xdr:nvSpPr>
            <xdr:cNvPr id="11279" name="Button 2" hidden="1">
              <a:extLst>
                <a:ext uri="{63B3BB69-23CF-44E3-9099-C40C66FF867C}">
                  <a14:compatExt spid="_x0000_s11279"/>
                </a:ext>
                <a:ext uri="{FF2B5EF4-FFF2-40B4-BE49-F238E27FC236}">
                  <a16:creationId xmlns:a16="http://schemas.microsoft.com/office/drawing/2014/main" id="{00000000-0008-0000-0300-00000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333333"/>
                  </a:solidFill>
                  <a:latin typeface="Calibri"/>
                  <a:cs typeface="Calibri"/>
                </a:rPr>
                <a:t>🗑 Effacer les données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rso" refreshedDate="45245.669624768518" createdVersion="6" refreshedVersion="6" minRefreshableVersion="3" recordCount="2675" xr:uid="{00000000-000A-0000-FFFF-FFFF1F000000}">
  <cacheSource type="worksheet">
    <worksheetSource ref="A3:U1048576" sheet="Trajets"/>
  </cacheSource>
  <cacheFields count="21">
    <cacheField name="VIN(s)" numFmtId="0">
      <sharedItems containsNonDate="0" containsBlank="1" count="9">
        <m/>
        <s v="VF3LCBHXWHS172605" u="1"/>
        <s v="VR3F3DGXTMY513590" u="1"/>
        <s v="VF3M4DGZUNS125517" u="1"/>
        <s v="VF3XXXXXXXXXXXXXXX" u="1"/>
        <s v="VR3F4DGZTKY224073" u="1"/>
        <s v="VR7A4DGZSLL054903" u="1"/>
        <s v="VR3UPHNKSLT051702" u="1"/>
        <s v="VR3F3DGXTNY506006" u="1"/>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h:mm:ss)" numFmtId="46">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Niveau_x000a_batterie" numFmtId="168">
      <sharedItems containsNonDate="0" containsString="0" containsBlank="1"/>
    </cacheField>
    <cacheField name="Autonomie_x000a_Electrique" numFmtId="1">
      <sharedItems containsNonDate="0" containsString="0" containsBlank="1"/>
    </cacheField>
    <cacheField name="%trajet_x000a_en EV" numFmtId="168">
      <sharedItems containsNonDate="0" containsString="0" containsBlank="1"/>
    </cacheField>
    <cacheField name="Kwh/100" numFmtId="164">
      <sharedItems containsNonDate="0" containsString="0" containsBlank="1"/>
    </cacheField>
    <cacheField name="Latitude" numFmtId="49">
      <sharedItems containsNonDate="0" containsString="0" containsBlank="1"/>
    </cacheField>
    <cacheField name="Longitude" numFmtId="49">
      <sharedItems containsNonDate="0" containsString="0" containsBlank="1"/>
    </cacheField>
    <cacheField name="Adresse" numFmtId="49">
      <sharedItems containsNonDate="0" containsString="0" containsBlank="1"/>
    </cacheField>
    <cacheField name="Latitude2" numFmtId="49">
      <sharedItems containsNonDate="0" containsString="0" containsBlank="1"/>
    </cacheField>
    <cacheField name="Longitude2" numFmtId="49">
      <sharedItems containsNonDate="0" containsString="0" containsBlank="1"/>
    </cacheField>
    <cacheField name="Adresse2" numFmtId="49">
      <sharedItems containsNonDate="0" containsString="0" containsBlank="1"/>
    </cacheField>
    <cacheField name="Niveau carburant"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75">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r>
    <x v="0"/>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0"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H4" firstHeaderRow="0" firstDataRow="1" firstDataCol="0" rowPageCount="1" colPageCount="1"/>
  <pivotFields count="21">
    <pivotField axis="axisPage" multipleItemSelectionAllowed="1" showAll="0">
      <items count="10">
        <item h="1" x="0"/>
        <item h="1" m="1" x="6"/>
        <item h="1" m="1" x="2"/>
        <item h="1" m="1" x="5"/>
        <item h="1" m="1" x="1"/>
        <item h="1" m="1" x="7"/>
        <item h="1" m="1" x="4"/>
        <item h="1" m="1" x="8"/>
        <item m="1" x="3"/>
        <item t="default"/>
      </items>
    </pivotField>
    <pivotField dataField="1" showAll="0"/>
    <pivotField showAll="0"/>
    <pivotField showAll="0"/>
    <pivotField showAll="0" defaultSubtotal="0"/>
    <pivotField dataField="1" showAll="0"/>
    <pivotField dataField="1" showAll="0"/>
    <pivotField dataField="1" showAll="0"/>
    <pivotField showAll="0"/>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21">
      <pivotArea outline="0" collapsedLevelsAreSubtotals="1" fieldPosition="0">
        <references count="1">
          <reference field="4294967294" count="3" selected="0">
            <x v="1"/>
            <x v="2"/>
            <x v="3"/>
          </reference>
        </references>
      </pivotArea>
    </format>
    <format dxfId="20">
      <pivotArea dataOnly="0" labelOnly="1" outline="0" fieldPosition="0">
        <references count="1">
          <reference field="4294967294" count="1">
            <x v="0"/>
          </reference>
        </references>
      </pivotArea>
    </format>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4">
            <x v="0"/>
            <x v="1"/>
            <x v="2"/>
            <x v="3"/>
          </reference>
        </references>
      </pivotArea>
    </format>
    <format dxfId="17">
      <pivotArea dataOnly="0" labelOnly="1" outline="0" fieldPosition="0">
        <references count="1">
          <reference field="4294967294" count="1">
            <x v="1"/>
          </reference>
        </references>
      </pivotArea>
    </format>
    <format dxfId="16">
      <pivotArea outline="0" collapsedLevelsAreSubtotals="1" fieldPosition="0"/>
    </format>
    <format dxfId="15">
      <pivotArea outline="0" collapsedLevelsAreSubtotals="1" fieldPosition="0"/>
    </format>
    <format dxfId="14">
      <pivotArea outline="0" collapsedLevelsAreSubtotals="1" fieldPosition="0">
        <references count="1">
          <reference field="4294967294" count="1" selected="0">
            <x v="1"/>
          </reference>
        </references>
      </pivotArea>
    </format>
    <format dxfId="13">
      <pivotArea outline="0" collapsedLevelsAreSubtotals="1" fieldPosition="0">
        <references count="1">
          <reference field="4294967294" count="3" selected="0">
            <x v="0"/>
            <x v="2"/>
            <x v="3"/>
          </reference>
        </references>
      </pivotArea>
    </format>
    <format dxfId="12">
      <pivotArea outline="0" collapsedLevelsAreSubtotals="1" fieldPosition="0">
        <references count="1">
          <reference field="4294967294" count="1" selected="0">
            <x v="2"/>
          </reference>
        </references>
      </pivotArea>
    </format>
    <format dxfId="11">
      <pivotArea outline="0" collapsedLevelsAreSubtotals="1" fieldPosition="0">
        <references count="1">
          <reference field="4294967294" count="1" selected="0">
            <x v="0"/>
          </reference>
        </references>
      </pivotArea>
    </format>
    <format dxfId="10">
      <pivotArea field="0" type="button" dataOnly="0" labelOnly="1" outline="0" axis="axisPage" fieldPosition="0"/>
    </format>
    <format dxfId="9">
      <pivotArea field="0" type="button" dataOnly="0" labelOnly="1" outline="0" axis="axisPage" fieldPosition="0"/>
    </format>
    <format dxfId="8">
      <pivotArea type="all" dataOnly="0" outline="0" fieldPosition="0"/>
    </format>
    <format dxfId="7">
      <pivotArea outline="0" collapsedLevelsAreSubtotals="1" fieldPosition="0"/>
    </format>
    <format dxfId="6">
      <pivotArea dataOnly="0" labelOnly="1" outline="0" fieldPosition="0">
        <references count="1">
          <reference field="4294967294" count="4">
            <x v="0"/>
            <x v="1"/>
            <x v="2"/>
            <x v="3"/>
          </reference>
        </references>
      </pivotArea>
    </format>
    <format dxfId="5">
      <pivotArea type="all" dataOnly="0" outline="0" fieldPosition="0"/>
    </format>
    <format dxfId="4">
      <pivotArea outline="0" collapsedLevelsAreSubtotals="1" fieldPosition="0"/>
    </format>
    <format dxfId="3">
      <pivotArea dataOnly="0" labelOnly="1" outline="0" fieldPosition="0">
        <references count="1">
          <reference field="4294967294" count="4">
            <x v="0"/>
            <x v="1"/>
            <x v="2"/>
            <x v="3"/>
          </reference>
        </references>
      </pivotArea>
    </format>
    <format dxfId="2">
      <pivotArea outline="0" collapsedLevelsAreSubtotals="1" fieldPosition="0"/>
    </format>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51" sqref="A51"/>
    </sheetView>
  </sheetViews>
  <sheetFormatPr baseColWidth="10" defaultColWidth="11.42578125" defaultRowHeight="12.75" x14ac:dyDescent="0.2"/>
  <cols>
    <col min="1" max="16384" width="11.42578125" style="33"/>
  </cols>
  <sheetData>
    <row r="11" spans="1:1" ht="14.25" x14ac:dyDescent="0.25">
      <c r="A11" s="6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95250</xdr:rowOff>
                  </from>
                  <to>
                    <xdr:col>1</xdr:col>
                    <xdr:colOff>476250</xdr:colOff>
                    <xdr:row>3</xdr:row>
                    <xdr:rowOff>104775</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476250</xdr:colOff>
                    <xdr:row>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ColWidth="11.42578125" defaultRowHeight="12.75" x14ac:dyDescent="0.2"/>
  <cols>
    <col min="1" max="16384" width="11.42578125" style="63"/>
  </cols>
  <sheetData>
    <row r="1" spans="3:12" ht="18.75" customHeight="1" x14ac:dyDescent="0.2">
      <c r="C1" s="124" t="s">
        <v>96</v>
      </c>
      <c r="D1" s="125"/>
      <c r="E1" s="125"/>
      <c r="F1" s="125"/>
      <c r="G1" s="125"/>
      <c r="H1" s="125"/>
      <c r="I1" s="125"/>
      <c r="J1" s="125"/>
      <c r="K1" s="125"/>
      <c r="L1" s="126"/>
    </row>
    <row r="2" spans="3:12" ht="18.75" customHeight="1" x14ac:dyDescent="0.2">
      <c r="C2" s="127"/>
      <c r="D2" s="128"/>
      <c r="E2" s="128"/>
      <c r="F2" s="128"/>
      <c r="G2" s="128"/>
      <c r="H2" s="128"/>
      <c r="I2" s="128"/>
      <c r="J2" s="128"/>
      <c r="K2" s="128"/>
      <c r="L2" s="129"/>
    </row>
    <row r="3" spans="3:12" ht="18.75" customHeight="1" x14ac:dyDescent="0.2">
      <c r="C3" s="127"/>
      <c r="D3" s="128"/>
      <c r="E3" s="128"/>
      <c r="F3" s="128"/>
      <c r="G3" s="128"/>
      <c r="H3" s="128"/>
      <c r="I3" s="128"/>
      <c r="J3" s="128"/>
      <c r="K3" s="128"/>
      <c r="L3" s="129"/>
    </row>
    <row r="4" spans="3:12" ht="18.75" customHeight="1" x14ac:dyDescent="0.2">
      <c r="C4" s="130" t="s">
        <v>97</v>
      </c>
      <c r="D4" s="131"/>
      <c r="E4" s="131"/>
      <c r="F4" s="131"/>
      <c r="G4" s="131"/>
      <c r="H4" s="131"/>
      <c r="I4" s="131"/>
      <c r="J4" s="131"/>
      <c r="K4" s="131"/>
      <c r="L4" s="132"/>
    </row>
    <row r="5" spans="3:12" ht="18.75" customHeight="1" x14ac:dyDescent="0.2">
      <c r="C5" s="139" t="s">
        <v>98</v>
      </c>
      <c r="D5" s="137"/>
      <c r="E5" s="137"/>
      <c r="F5" s="137"/>
      <c r="G5" s="137"/>
      <c r="H5" s="137"/>
      <c r="I5" s="137"/>
      <c r="J5" s="137"/>
      <c r="K5" s="137"/>
      <c r="L5" s="138"/>
    </row>
    <row r="6" spans="3:12" ht="18.75" customHeight="1" x14ac:dyDescent="0.2">
      <c r="C6" s="139"/>
      <c r="D6" s="137"/>
      <c r="E6" s="137"/>
      <c r="F6" s="137"/>
      <c r="G6" s="137"/>
      <c r="H6" s="137"/>
      <c r="I6" s="137"/>
      <c r="J6" s="137"/>
      <c r="K6" s="137"/>
      <c r="L6" s="138"/>
    </row>
    <row r="7" spans="3:12" ht="18.75" customHeight="1" x14ac:dyDescent="0.2">
      <c r="C7" s="130" t="s">
        <v>99</v>
      </c>
      <c r="D7" s="131"/>
      <c r="E7" s="131"/>
      <c r="F7" s="131"/>
      <c r="G7" s="131"/>
      <c r="H7" s="131"/>
      <c r="I7" s="131"/>
      <c r="J7" s="131"/>
      <c r="K7" s="131"/>
      <c r="L7" s="132"/>
    </row>
    <row r="8" spans="3:12" ht="18.75" customHeight="1" x14ac:dyDescent="0.2">
      <c r="C8" s="66"/>
      <c r="D8" s="131" t="s">
        <v>100</v>
      </c>
      <c r="E8" s="131"/>
      <c r="F8" s="131"/>
      <c r="G8" s="131"/>
      <c r="H8" s="131"/>
      <c r="I8" s="131"/>
      <c r="J8" s="131"/>
      <c r="K8" s="131"/>
      <c r="L8" s="132"/>
    </row>
    <row r="9" spans="3:12" ht="18.75" customHeight="1" x14ac:dyDescent="0.2">
      <c r="C9" s="66"/>
      <c r="D9" s="131" t="s">
        <v>101</v>
      </c>
      <c r="E9" s="131"/>
      <c r="F9" s="131"/>
      <c r="G9" s="131"/>
      <c r="H9" s="131"/>
      <c r="I9" s="131"/>
      <c r="J9" s="131"/>
      <c r="K9" s="131"/>
      <c r="L9" s="132"/>
    </row>
    <row r="10" spans="3:12" ht="18.75" customHeight="1" x14ac:dyDescent="0.2">
      <c r="C10" s="66"/>
      <c r="D10" s="67"/>
      <c r="E10" s="142" t="s">
        <v>102</v>
      </c>
      <c r="F10" s="143"/>
      <c r="G10" s="143"/>
      <c r="H10" s="144"/>
      <c r="I10" s="67"/>
      <c r="J10" s="67"/>
      <c r="K10" s="67"/>
      <c r="L10" s="68"/>
    </row>
    <row r="11" spans="3:12" ht="18.75" customHeight="1" x14ac:dyDescent="0.2">
      <c r="C11" s="66"/>
      <c r="D11" s="67"/>
      <c r="E11" s="67"/>
      <c r="F11" s="67"/>
      <c r="G11" s="140" t="s">
        <v>103</v>
      </c>
      <c r="H11" s="140"/>
      <c r="I11" s="140"/>
      <c r="J11" s="140"/>
      <c r="K11" s="140"/>
      <c r="L11" s="141"/>
    </row>
    <row r="12" spans="3:12" ht="18.75" customHeight="1" x14ac:dyDescent="0.2">
      <c r="C12" s="66"/>
      <c r="D12" s="67"/>
      <c r="E12" s="67"/>
      <c r="F12" s="67"/>
      <c r="G12" s="140"/>
      <c r="H12" s="140"/>
      <c r="I12" s="140"/>
      <c r="J12" s="140"/>
      <c r="K12" s="140"/>
      <c r="L12" s="141"/>
    </row>
    <row r="13" spans="3:12" ht="18.75" customHeight="1" x14ac:dyDescent="0.2">
      <c r="C13" s="66"/>
      <c r="D13" s="137" t="s">
        <v>105</v>
      </c>
      <c r="E13" s="137"/>
      <c r="F13" s="137"/>
      <c r="G13" s="137"/>
      <c r="H13" s="137"/>
      <c r="I13" s="137"/>
      <c r="J13" s="137"/>
      <c r="K13" s="137"/>
      <c r="L13" s="138"/>
    </row>
    <row r="14" spans="3:12" ht="18.75" customHeight="1" x14ac:dyDescent="0.2">
      <c r="C14" s="66"/>
      <c r="D14" s="137"/>
      <c r="E14" s="137"/>
      <c r="F14" s="137"/>
      <c r="G14" s="137"/>
      <c r="H14" s="137"/>
      <c r="I14" s="137"/>
      <c r="J14" s="137"/>
      <c r="K14" s="137"/>
      <c r="L14" s="138"/>
    </row>
    <row r="15" spans="3:12" ht="18.75" customHeight="1" x14ac:dyDescent="0.2">
      <c r="C15" s="66"/>
      <c r="D15" s="133" t="s">
        <v>104</v>
      </c>
      <c r="E15" s="133"/>
      <c r="F15" s="133"/>
      <c r="G15" s="133"/>
      <c r="H15" s="133"/>
      <c r="I15" s="133"/>
      <c r="J15" s="133"/>
      <c r="K15" s="133"/>
      <c r="L15" s="134"/>
    </row>
    <row r="16" spans="3:12" ht="18.75" customHeight="1" x14ac:dyDescent="0.3">
      <c r="C16" s="69"/>
      <c r="D16" s="133"/>
      <c r="E16" s="133"/>
      <c r="F16" s="133"/>
      <c r="G16" s="133"/>
      <c r="H16" s="133"/>
      <c r="I16" s="133"/>
      <c r="J16" s="133"/>
      <c r="K16" s="133"/>
      <c r="L16" s="134"/>
    </row>
    <row r="17" spans="3:12" ht="18.75" customHeight="1" x14ac:dyDescent="0.25">
      <c r="C17" s="70"/>
      <c r="D17" s="133"/>
      <c r="E17" s="133"/>
      <c r="F17" s="133"/>
      <c r="G17" s="133"/>
      <c r="H17" s="133"/>
      <c r="I17" s="133"/>
      <c r="J17" s="133"/>
      <c r="K17" s="133"/>
      <c r="L17" s="134"/>
    </row>
    <row r="18" spans="3:12" ht="18.75" customHeight="1" thickBot="1" x14ac:dyDescent="0.3">
      <c r="C18" s="71"/>
      <c r="D18" s="135"/>
      <c r="E18" s="135"/>
      <c r="F18" s="135"/>
      <c r="G18" s="135"/>
      <c r="H18" s="135"/>
      <c r="I18" s="135"/>
      <c r="J18" s="135"/>
      <c r="K18" s="135"/>
      <c r="L18" s="136"/>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104775</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104775</xdr:colOff>
                    <xdr:row>2</xdr:row>
                    <xdr:rowOff>219075</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AA40"/>
  <sheetViews>
    <sheetView showGridLines="0" tabSelected="1" workbookViewId="0">
      <selection activeCell="H38" sqref="H38"/>
    </sheetView>
  </sheetViews>
  <sheetFormatPr baseColWidth="10" defaultColWidth="11.42578125" defaultRowHeight="15" x14ac:dyDescent="0.25"/>
  <cols>
    <col min="1" max="1" width="3.42578125" style="34" customWidth="1"/>
    <col min="2" max="2" width="22" style="34" customWidth="1"/>
    <col min="3" max="4" width="3.42578125" style="34" customWidth="1"/>
    <col min="5" max="5" width="18.42578125" style="34" customWidth="1"/>
    <col min="6" max="6" width="22.42578125" style="34" customWidth="1"/>
    <col min="7" max="7" width="16.42578125" style="34" customWidth="1"/>
    <col min="8" max="8" width="21.140625" style="34" customWidth="1"/>
    <col min="9" max="9" width="17.85546875" style="34" customWidth="1"/>
    <col min="10" max="10" width="4.42578125" style="34" customWidth="1"/>
    <col min="11" max="11" width="1.85546875" style="34" customWidth="1"/>
    <col min="12" max="12" width="1.42578125" style="34" customWidth="1"/>
    <col min="13" max="13" width="21.85546875" style="50" customWidth="1"/>
    <col min="14" max="14" width="19.28515625" style="50" bestFit="1" customWidth="1"/>
    <col min="15" max="15" width="9.7109375" style="34" customWidth="1"/>
    <col min="16" max="16384" width="11.42578125" style="34"/>
  </cols>
  <sheetData>
    <row r="1" spans="1:27" ht="15.75" thickBot="1" x14ac:dyDescent="0.3">
      <c r="A1" s="103"/>
      <c r="E1" s="35" t="s">
        <v>67</v>
      </c>
      <c r="F1" s="36" t="s">
        <v>164</v>
      </c>
      <c r="G1" s="75" t="s">
        <v>78</v>
      </c>
      <c r="H1" s="76" t="str">
        <f>IF($F1="(Plusieurs éléments)","",IF($F1="(vide)","",IF($F1="(Tous)","",VLOOKUP($F1,$M$3:$N$23,2,FALSE))))</f>
        <v/>
      </c>
      <c r="M1" s="145" t="s">
        <v>83</v>
      </c>
      <c r="N1" s="145"/>
      <c r="O1" s="145"/>
      <c r="Z1" s="87" t="b">
        <v>1</v>
      </c>
      <c r="AA1" s="86"/>
    </row>
    <row r="2" spans="1:27" ht="15.75" thickTop="1" x14ac:dyDescent="0.25">
      <c r="B2" s="183" t="s">
        <v>72</v>
      </c>
      <c r="E2" s="37" t="s">
        <v>81</v>
      </c>
      <c r="F2" s="37"/>
      <c r="G2" s="36"/>
      <c r="M2" s="146"/>
      <c r="N2" s="146"/>
      <c r="O2" s="146"/>
    </row>
    <row r="3" spans="1:27" ht="30.75" thickBot="1" x14ac:dyDescent="0.3">
      <c r="B3" s="184" t="s">
        <v>167</v>
      </c>
      <c r="E3" s="38" t="s">
        <v>79</v>
      </c>
      <c r="F3" s="38" t="s">
        <v>75</v>
      </c>
      <c r="G3" s="39" t="s">
        <v>73</v>
      </c>
      <c r="H3" s="39" t="s">
        <v>74</v>
      </c>
      <c r="I3" s="59" t="s">
        <v>76</v>
      </c>
      <c r="J3"/>
      <c r="M3" s="40" t="s">
        <v>77</v>
      </c>
      <c r="N3" s="56" t="s">
        <v>82</v>
      </c>
      <c r="O3" s="41" t="s">
        <v>95</v>
      </c>
    </row>
    <row r="4" spans="1:27" ht="15.75" thickTop="1" x14ac:dyDescent="0.25">
      <c r="E4" s="73"/>
      <c r="F4" s="73"/>
      <c r="G4" s="121"/>
      <c r="H4" s="122"/>
      <c r="I4" s="74" t="str">
        <f>IF(GETPIVOTDATA("Kilométrage actuel de la voiture",$E$3)&gt;0,GETPIVOTDATA("Conso Totale (L)",$E$3)*100/GETPIVOTDATA("Kilométrage total",$E$3),"")</f>
        <v/>
      </c>
      <c r="J4"/>
      <c r="M4" s="42"/>
      <c r="N4" s="57"/>
      <c r="O4" s="43"/>
    </row>
    <row r="5" spans="1:27" x14ac:dyDescent="0.25">
      <c r="B5" s="34" t="s">
        <v>80</v>
      </c>
      <c r="M5" s="44"/>
      <c r="N5" s="39"/>
      <c r="O5" s="45"/>
    </row>
    <row r="6" spans="1:27" x14ac:dyDescent="0.25">
      <c r="E6" s="37" t="s">
        <v>88</v>
      </c>
      <c r="M6" s="44"/>
      <c r="N6" s="39"/>
      <c r="O6" s="45"/>
    </row>
    <row r="7" spans="1:27" x14ac:dyDescent="0.25">
      <c r="E7" s="158" t="s">
        <v>87</v>
      </c>
      <c r="F7" s="159"/>
      <c r="G7" s="154" t="s">
        <v>84</v>
      </c>
      <c r="H7" s="155"/>
      <c r="M7" s="46"/>
      <c r="O7" s="47"/>
    </row>
    <row r="8" spans="1:27" x14ac:dyDescent="0.25">
      <c r="E8" s="156" t="s">
        <v>80</v>
      </c>
      <c r="F8" s="157"/>
      <c r="G8" s="51" t="s">
        <v>85</v>
      </c>
      <c r="H8" s="72" t="s">
        <v>80</v>
      </c>
      <c r="M8" s="46"/>
      <c r="O8" s="47"/>
    </row>
    <row r="9" spans="1:27" x14ac:dyDescent="0.25">
      <c r="E9" s="156"/>
      <c r="F9" s="157"/>
      <c r="G9" s="52" t="s">
        <v>86</v>
      </c>
      <c r="H9" s="72" t="s">
        <v>80</v>
      </c>
      <c r="M9" s="46"/>
      <c r="O9" s="47"/>
    </row>
    <row r="10" spans="1:27" x14ac:dyDescent="0.25">
      <c r="M10" s="46"/>
      <c r="O10" s="47"/>
    </row>
    <row r="11" spans="1:27" x14ac:dyDescent="0.25">
      <c r="M11" s="46"/>
      <c r="O11" s="47"/>
    </row>
    <row r="12" spans="1:27" x14ac:dyDescent="0.25">
      <c r="M12" s="46"/>
      <c r="O12" s="47"/>
    </row>
    <row r="13" spans="1:27" x14ac:dyDescent="0.25">
      <c r="M13" s="46"/>
      <c r="O13" s="47"/>
    </row>
    <row r="14" spans="1:27" ht="16.5" x14ac:dyDescent="0.3">
      <c r="F14" s="64"/>
      <c r="M14" s="46"/>
      <c r="O14" s="47"/>
    </row>
    <row r="15" spans="1:27" x14ac:dyDescent="0.25">
      <c r="M15" s="46"/>
      <c r="O15" s="47"/>
    </row>
    <row r="16" spans="1:27" x14ac:dyDescent="0.25">
      <c r="M16" s="46"/>
      <c r="O16" s="47"/>
    </row>
    <row r="17" spans="2:15" x14ac:dyDescent="0.25">
      <c r="M17" s="46"/>
      <c r="O17" s="47"/>
    </row>
    <row r="18" spans="2:15" x14ac:dyDescent="0.25">
      <c r="M18" s="46"/>
      <c r="O18" s="47"/>
    </row>
    <row r="19" spans="2:15" ht="16.5" x14ac:dyDescent="0.3">
      <c r="F19" s="64"/>
      <c r="M19" s="46"/>
      <c r="O19" s="47"/>
    </row>
    <row r="20" spans="2:15" x14ac:dyDescent="0.25">
      <c r="E20" s="153" t="s">
        <v>106</v>
      </c>
      <c r="F20" s="153"/>
      <c r="G20" s="153"/>
      <c r="H20" s="153"/>
      <c r="I20" s="153"/>
      <c r="M20" s="46"/>
      <c r="O20" s="47"/>
    </row>
    <row r="21" spans="2:15" x14ac:dyDescent="0.25">
      <c r="B21" s="34" t="s">
        <v>80</v>
      </c>
      <c r="E21" s="94" t="s">
        <v>107</v>
      </c>
      <c r="F21" s="147" t="s">
        <v>108</v>
      </c>
      <c r="G21" s="147"/>
      <c r="H21" s="147"/>
      <c r="I21" s="148"/>
      <c r="M21" s="46"/>
      <c r="O21" s="47"/>
    </row>
    <row r="22" spans="2:15" x14ac:dyDescent="0.25">
      <c r="E22" s="95" t="s">
        <v>112</v>
      </c>
      <c r="F22" s="147" t="s">
        <v>109</v>
      </c>
      <c r="G22" s="147"/>
      <c r="H22" s="147"/>
      <c r="I22" s="148"/>
      <c r="M22" s="46"/>
      <c r="O22" s="47"/>
    </row>
    <row r="23" spans="2:15" x14ac:dyDescent="0.25">
      <c r="E23" s="99" t="s">
        <v>119</v>
      </c>
      <c r="F23" s="147" t="s">
        <v>120</v>
      </c>
      <c r="G23" s="147"/>
      <c r="H23" s="147"/>
      <c r="I23" s="148"/>
      <c r="M23" s="48"/>
      <c r="N23" s="58"/>
      <c r="O23" s="49"/>
    </row>
    <row r="24" spans="2:15" x14ac:dyDescent="0.25">
      <c r="E24" s="96" t="s">
        <v>113</v>
      </c>
      <c r="F24" s="147" t="s">
        <v>114</v>
      </c>
      <c r="G24" s="147"/>
      <c r="H24" s="147"/>
      <c r="I24" s="148"/>
    </row>
    <row r="25" spans="2:15" x14ac:dyDescent="0.25">
      <c r="E25" s="97" t="s">
        <v>110</v>
      </c>
      <c r="F25" s="147" t="s">
        <v>111</v>
      </c>
      <c r="G25" s="147"/>
      <c r="H25" s="147"/>
      <c r="I25" s="148"/>
    </row>
    <row r="27" spans="2:15" x14ac:dyDescent="0.25">
      <c r="E27" s="153" t="s">
        <v>117</v>
      </c>
      <c r="F27" s="153"/>
      <c r="G27" s="153"/>
      <c r="H27" s="153"/>
      <c r="I27" s="153"/>
    </row>
    <row r="28" spans="2:15" ht="15" customHeight="1" x14ac:dyDescent="0.25">
      <c r="E28" s="151" t="s">
        <v>115</v>
      </c>
      <c r="F28" s="149" t="s">
        <v>116</v>
      </c>
      <c r="G28" s="149"/>
      <c r="H28" s="149"/>
      <c r="I28" s="150"/>
      <c r="J28" s="50"/>
      <c r="K28" s="50"/>
      <c r="L28" s="50"/>
    </row>
    <row r="29" spans="2:15" x14ac:dyDescent="0.25">
      <c r="E29" s="152"/>
      <c r="F29" s="149"/>
      <c r="G29" s="149"/>
      <c r="H29" s="149"/>
      <c r="I29" s="150"/>
      <c r="J29" s="50"/>
      <c r="K29" s="50"/>
      <c r="L29" s="50"/>
    </row>
    <row r="30" spans="2:15" x14ac:dyDescent="0.25">
      <c r="E30" s="100" t="s">
        <v>121</v>
      </c>
      <c r="F30" s="149" t="s">
        <v>122</v>
      </c>
      <c r="G30" s="149"/>
      <c r="H30" s="149"/>
      <c r="I30" s="150"/>
      <c r="J30" s="50"/>
      <c r="K30" s="50"/>
      <c r="L30" s="50"/>
    </row>
    <row r="31" spans="2:15" x14ac:dyDescent="0.25">
      <c r="E31" s="101" t="s">
        <v>118</v>
      </c>
      <c r="F31" s="149" t="s">
        <v>123</v>
      </c>
      <c r="G31" s="149"/>
      <c r="H31" s="149"/>
      <c r="I31" s="150"/>
      <c r="J31" s="93"/>
    </row>
    <row r="32" spans="2:15" ht="15" customHeight="1" x14ac:dyDescent="0.25">
      <c r="E32" s="102" t="s">
        <v>124</v>
      </c>
      <c r="F32" s="149" t="s">
        <v>125</v>
      </c>
      <c r="G32" s="149"/>
      <c r="H32" s="149"/>
      <c r="I32" s="150"/>
    </row>
    <row r="38" spans="6:7" x14ac:dyDescent="0.25">
      <c r="G38" s="34" t="s">
        <v>80</v>
      </c>
    </row>
    <row r="40" spans="6:7" x14ac:dyDescent="0.25">
      <c r="F40" s="34" t="s">
        <v>80</v>
      </c>
    </row>
  </sheetData>
  <dataConsolidate/>
  <mergeCells count="16">
    <mergeCell ref="F32:I32"/>
    <mergeCell ref="F31:I31"/>
    <mergeCell ref="G7:H7"/>
    <mergeCell ref="E8:F9"/>
    <mergeCell ref="E7:F7"/>
    <mergeCell ref="M1:O2"/>
    <mergeCell ref="F21:I21"/>
    <mergeCell ref="F28:I29"/>
    <mergeCell ref="F30:I30"/>
    <mergeCell ref="E28:E29"/>
    <mergeCell ref="E20:I20"/>
    <mergeCell ref="E27:I27"/>
    <mergeCell ref="F22:I22"/>
    <mergeCell ref="F23:I23"/>
    <mergeCell ref="F24:I24"/>
    <mergeCell ref="F25:I25"/>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180975</xdr:rowOff>
                  </from>
                  <to>
                    <xdr:col>2</xdr:col>
                    <xdr:colOff>38100</xdr:colOff>
                    <xdr:row>8</xdr:row>
                    <xdr:rowOff>57150</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8</xdr:row>
                    <xdr:rowOff>133350</xdr:rowOff>
                  </from>
                  <to>
                    <xdr:col>2</xdr:col>
                    <xdr:colOff>38100</xdr:colOff>
                    <xdr:row>11</xdr:row>
                    <xdr:rowOff>171450</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12</xdr:row>
                    <xdr:rowOff>57150</xdr:rowOff>
                  </from>
                  <to>
                    <xdr:col>2</xdr:col>
                    <xdr:colOff>38100</xdr:colOff>
                    <xdr:row>15</xdr:row>
                    <xdr:rowOff>66675</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4</xdr:col>
                    <xdr:colOff>76200</xdr:colOff>
                    <xdr:row>11</xdr:row>
                    <xdr:rowOff>152400</xdr:rowOff>
                  </from>
                  <to>
                    <xdr:col>5</xdr:col>
                    <xdr:colOff>457200</xdr:colOff>
                    <xdr:row>14</xdr:row>
                    <xdr:rowOff>180975</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15</xdr:row>
                    <xdr:rowOff>104775</xdr:rowOff>
                  </from>
                  <to>
                    <xdr:col>2</xdr:col>
                    <xdr:colOff>38100</xdr:colOff>
                    <xdr:row>18</xdr:row>
                    <xdr:rowOff>180975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4</xdr:col>
                    <xdr:colOff>76200</xdr:colOff>
                    <xdr:row>15</xdr:row>
                    <xdr:rowOff>38100</xdr:rowOff>
                  </from>
                  <to>
                    <xdr:col>5</xdr:col>
                    <xdr:colOff>457200</xdr:colOff>
                    <xdr:row>18</xdr:row>
                    <xdr:rowOff>114300</xdr:rowOff>
                  </to>
                </anchor>
              </controlPr>
            </control>
          </mc:Choice>
        </mc:AlternateContent>
        <mc:AlternateContent xmlns:mc="http://schemas.openxmlformats.org/markup-compatibility/2006">
          <mc:Choice Requires="x14">
            <control shapeId="22536" r:id="rId11" name="Button 8">
              <controlPr defaultSize="0" print="0" autoFill="0" autoPict="0" macro="[0]!RemetAdresseDepuisGPS">
                <anchor>
                  <from>
                    <xdr:col>0</xdr:col>
                    <xdr:colOff>114300</xdr:colOff>
                    <xdr:row>19</xdr:row>
                    <xdr:rowOff>28575</xdr:rowOff>
                  </from>
                  <to>
                    <xdr:col>2</xdr:col>
                    <xdr:colOff>38100</xdr:colOff>
                    <xdr:row>22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CW265"/>
  <sheetViews>
    <sheetView zoomScaleNormal="100" workbookViewId="0">
      <pane ySplit="3" topLeftCell="A4" activePane="bottomLeft" state="frozen"/>
      <selection activeCell="K1" sqref="K1"/>
      <selection pane="bottomLeft" activeCell="A4" sqref="A4"/>
    </sheetView>
  </sheetViews>
  <sheetFormatPr baseColWidth="10" defaultColWidth="11.42578125" defaultRowHeight="12.75" x14ac:dyDescent="0.2"/>
  <cols>
    <col min="1" max="1" width="17.28515625" style="123" customWidth="1"/>
    <col min="2" max="2" width="11.7109375" style="1" bestFit="1" customWidth="1"/>
    <col min="3" max="4" width="15.42578125" style="19" customWidth="1"/>
    <col min="5" max="5" width="12.140625" style="112" customWidth="1"/>
    <col min="6" max="6" width="10.7109375" style="16" customWidth="1"/>
    <col min="7" max="7" width="9.85546875" style="16" customWidth="1"/>
    <col min="8" max="8" width="8.42578125" style="17" customWidth="1"/>
    <col min="9" max="9" width="9.85546875" style="18" customWidth="1"/>
    <col min="10" max="10" width="8.42578125" style="113" customWidth="1"/>
    <col min="11" max="11" width="10.85546875" style="110" customWidth="1"/>
    <col min="12" max="12" width="9.85546875" style="21" customWidth="1"/>
    <col min="13" max="13" width="6" style="120" customWidth="1"/>
    <col min="14" max="14" width="10.28515625" style="88" customWidth="1"/>
    <col min="15" max="15" width="7.85546875" style="88" customWidth="1"/>
    <col min="16" max="16" width="74.42578125" style="88" bestFit="1" customWidth="1"/>
    <col min="17" max="17" width="9" style="89" customWidth="1"/>
    <col min="18" max="18" width="7.42578125" style="88" customWidth="1"/>
    <col min="19" max="19" width="74.42578125" style="90" bestFit="1" customWidth="1"/>
    <col min="20" max="20" width="10.42578125" style="21" customWidth="1"/>
    <col min="21" max="21" width="13.7109375" style="20" customWidth="1"/>
    <col min="22" max="22" width="9.140625" style="55" customWidth="1"/>
    <col min="23" max="26" width="10.42578125" style="55" customWidth="1"/>
    <col min="27" max="28" width="17" style="114" bestFit="1" customWidth="1"/>
    <col min="29" max="29" width="5.42578125" style="114" customWidth="1"/>
    <col min="30" max="30" width="20.140625" style="77" customWidth="1"/>
    <col min="31" max="31" width="15.28515625" style="77" customWidth="1"/>
    <col min="32" max="32" width="6.42578125" style="77" customWidth="1"/>
    <col min="33" max="33" width="10" style="77" customWidth="1"/>
    <col min="34" max="35" width="12.42578125" style="77" customWidth="1"/>
    <col min="36" max="36" width="8.7109375" style="55" customWidth="1"/>
    <col min="37" max="37" width="6.42578125" style="55" customWidth="1"/>
    <col min="38" max="38" width="12" style="55" customWidth="1"/>
    <col min="39" max="39" width="7.42578125" style="55" customWidth="1"/>
    <col min="40" max="40" width="9.85546875" style="55" customWidth="1"/>
    <col min="41" max="41" width="11.42578125" style="55" customWidth="1"/>
    <col min="42" max="42" width="10.42578125" style="55" customWidth="1"/>
    <col min="43" max="43" width="5.7109375" style="55" customWidth="1"/>
    <col min="44" max="44" width="9.7109375" style="55" bestFit="1" customWidth="1"/>
    <col min="45" max="45" width="31.42578125" style="55" bestFit="1" customWidth="1"/>
    <col min="46" max="46" width="18.85546875" style="55" bestFit="1" customWidth="1"/>
    <col min="47" max="47" width="7.42578125" style="55" customWidth="1"/>
    <col min="48" max="48" width="8.28515625" style="55" customWidth="1"/>
    <col min="49" max="49" width="11.42578125" style="55" customWidth="1"/>
    <col min="50" max="50" width="19.28515625" style="55" bestFit="1" customWidth="1"/>
    <col min="51" max="52" width="6" style="55" customWidth="1"/>
    <col min="53" max="53" width="9.7109375" style="55" bestFit="1" customWidth="1"/>
    <col min="54" max="54" width="36.42578125" style="55" bestFit="1" customWidth="1"/>
    <col min="55" max="55" width="18.85546875" style="55" bestFit="1" customWidth="1"/>
    <col min="56" max="56" width="6" style="55" customWidth="1"/>
    <col min="57" max="57" width="8" style="55" customWidth="1"/>
    <col min="58" max="58" width="9.42578125" style="55" customWidth="1"/>
    <col min="59" max="59" width="19.28515625" style="55" bestFit="1" customWidth="1"/>
    <col min="60" max="60" width="7.42578125" style="55" customWidth="1"/>
    <col min="61" max="61" width="11.42578125" style="55" customWidth="1"/>
    <col min="62" max="62" width="8" style="55" customWidth="1"/>
    <col min="63" max="64" width="6" style="55" customWidth="1"/>
    <col min="65" max="65" width="7.140625" style="55" customWidth="1"/>
    <col min="66" max="66" width="6.28515625" style="55" customWidth="1"/>
    <col min="67" max="69" width="7.28515625" style="55" customWidth="1"/>
    <col min="70" max="70" width="11.42578125" style="55" customWidth="1"/>
    <col min="71" max="101" width="11.42578125" style="61"/>
    <col min="102" max="16384" width="11.42578125" style="1"/>
  </cols>
  <sheetData>
    <row r="1" spans="1:101" ht="23.25" customHeight="1" x14ac:dyDescent="0.2">
      <c r="A1" s="25"/>
      <c r="B1" s="25"/>
      <c r="C1" s="116" t="s">
        <v>163</v>
      </c>
      <c r="D1" s="117">
        <v>10</v>
      </c>
      <c r="E1" s="32" t="s">
        <v>66</v>
      </c>
      <c r="F1" s="22"/>
      <c r="G1" s="32"/>
      <c r="H1" s="24"/>
      <c r="I1" s="22"/>
      <c r="J1" s="106"/>
      <c r="K1" s="108"/>
      <c r="L1" s="111"/>
      <c r="M1" s="111"/>
      <c r="N1" s="24"/>
      <c r="O1" s="24"/>
      <c r="P1" s="23"/>
      <c r="Q1" s="32"/>
      <c r="R1" s="28"/>
      <c r="S1" s="28"/>
      <c r="T1" s="29"/>
      <c r="U1" s="30"/>
      <c r="V1" s="164" t="s">
        <v>94</v>
      </c>
      <c r="W1" s="165"/>
      <c r="X1" s="165"/>
      <c r="Y1" s="165"/>
      <c r="Z1" s="165"/>
      <c r="AA1" s="166"/>
      <c r="AB1" s="166"/>
      <c r="AC1" s="166"/>
      <c r="AD1" s="166"/>
      <c r="AE1" s="166"/>
      <c r="AF1" s="166"/>
      <c r="AG1" s="166"/>
      <c r="AH1" s="166"/>
      <c r="AI1" s="166"/>
      <c r="AJ1" s="165"/>
      <c r="AK1" s="165"/>
      <c r="AL1" s="165"/>
      <c r="AM1" s="165"/>
      <c r="AN1" s="165"/>
      <c r="AO1" s="165"/>
      <c r="AP1" s="165"/>
      <c r="AQ1" s="165"/>
      <c r="AR1" s="165"/>
      <c r="AS1" s="165"/>
      <c r="AT1" s="165"/>
      <c r="AU1" s="165"/>
      <c r="AV1" s="165"/>
      <c r="AW1" s="165"/>
      <c r="AX1" s="165"/>
      <c r="AY1" s="165"/>
      <c r="AZ1" s="165"/>
      <c r="BA1" s="165"/>
      <c r="BB1" s="165"/>
      <c r="BC1" s="165"/>
      <c r="BD1" s="165"/>
      <c r="BE1" s="165"/>
      <c r="BF1" s="165"/>
      <c r="BG1" s="165"/>
      <c r="BH1" s="165"/>
      <c r="BI1" s="165"/>
      <c r="BJ1" s="165"/>
      <c r="BK1" s="165"/>
      <c r="BL1" s="165"/>
      <c r="BM1" s="165"/>
      <c r="BN1" s="165"/>
      <c r="BO1" s="165"/>
      <c r="BP1" s="165"/>
      <c r="BQ1" s="165"/>
      <c r="BR1" s="167"/>
    </row>
    <row r="2" spans="1:101" ht="27" customHeight="1" x14ac:dyDescent="0.2">
      <c r="A2" s="25"/>
      <c r="B2" s="25"/>
      <c r="C2" s="116" t="s">
        <v>166</v>
      </c>
      <c r="D2" s="117">
        <v>98</v>
      </c>
      <c r="E2" s="32"/>
      <c r="F2" s="22"/>
      <c r="G2" s="32"/>
      <c r="H2" s="168" t="s">
        <v>129</v>
      </c>
      <c r="I2" s="169"/>
      <c r="J2" s="179" t="s">
        <v>130</v>
      </c>
      <c r="K2" s="180"/>
      <c r="L2" s="181"/>
      <c r="M2" s="182"/>
      <c r="N2" s="170" t="s">
        <v>131</v>
      </c>
      <c r="O2" s="171"/>
      <c r="P2" s="171"/>
      <c r="Q2" s="172" t="s">
        <v>132</v>
      </c>
      <c r="R2" s="173"/>
      <c r="S2" s="173"/>
      <c r="T2" s="29"/>
      <c r="U2" s="29"/>
      <c r="V2" s="105"/>
      <c r="W2" s="105"/>
      <c r="X2" s="105"/>
      <c r="Y2" s="105"/>
      <c r="Z2" s="105"/>
      <c r="AA2" s="174" t="s">
        <v>140</v>
      </c>
      <c r="AB2" s="175"/>
      <c r="AC2" s="175"/>
      <c r="AD2" s="175"/>
      <c r="AE2" s="175"/>
      <c r="AF2" s="175"/>
      <c r="AG2" s="175"/>
      <c r="AH2" s="175"/>
      <c r="AI2" s="175"/>
      <c r="AJ2" s="175"/>
      <c r="AK2" s="175"/>
      <c r="AL2" s="175"/>
      <c r="AM2" s="176"/>
      <c r="AN2" s="177" t="s">
        <v>159</v>
      </c>
      <c r="AO2" s="178"/>
      <c r="AP2" s="178"/>
      <c r="AQ2" s="162" t="s">
        <v>131</v>
      </c>
      <c r="AR2" s="162"/>
      <c r="AS2" s="162"/>
      <c r="AT2" s="162"/>
      <c r="AU2" s="162"/>
      <c r="AV2" s="162"/>
      <c r="AW2" s="162"/>
      <c r="AX2" s="162"/>
      <c r="AY2" s="163"/>
      <c r="AZ2" s="160" t="s">
        <v>132</v>
      </c>
      <c r="BA2" s="160"/>
      <c r="BB2" s="160"/>
      <c r="BC2" s="160"/>
      <c r="BD2" s="160"/>
      <c r="BE2" s="160"/>
      <c r="BF2" s="160"/>
      <c r="BG2" s="160"/>
      <c r="BH2" s="161"/>
      <c r="BI2" s="105"/>
      <c r="BJ2" s="105"/>
      <c r="BK2" s="105"/>
      <c r="BL2" s="105"/>
      <c r="BM2" s="105"/>
      <c r="BN2" s="105"/>
      <c r="BO2" s="105"/>
      <c r="BP2" s="105"/>
      <c r="BQ2" s="105"/>
      <c r="BR2" s="105"/>
    </row>
    <row r="3" spans="1:101" s="15" customFormat="1" ht="31.5" customHeight="1" x14ac:dyDescent="0.2">
      <c r="A3" s="31" t="s">
        <v>67</v>
      </c>
      <c r="B3" s="31" t="s">
        <v>54</v>
      </c>
      <c r="C3" s="31" t="s">
        <v>56</v>
      </c>
      <c r="D3" s="31" t="s">
        <v>57</v>
      </c>
      <c r="E3" s="26" t="s">
        <v>139</v>
      </c>
      <c r="F3" s="27" t="s">
        <v>69</v>
      </c>
      <c r="G3" s="27" t="s">
        <v>68</v>
      </c>
      <c r="H3" s="27" t="s">
        <v>71</v>
      </c>
      <c r="I3" s="27" t="s">
        <v>70</v>
      </c>
      <c r="J3" s="107" t="s">
        <v>136</v>
      </c>
      <c r="K3" s="109" t="s">
        <v>137</v>
      </c>
      <c r="L3" s="115" t="s">
        <v>138</v>
      </c>
      <c r="M3" s="119" t="s">
        <v>162</v>
      </c>
      <c r="N3" s="118" t="s">
        <v>133</v>
      </c>
      <c r="O3" s="27" t="s">
        <v>134</v>
      </c>
      <c r="P3" s="104" t="s">
        <v>135</v>
      </c>
      <c r="Q3" s="27" t="s">
        <v>133</v>
      </c>
      <c r="R3" s="27" t="s">
        <v>134</v>
      </c>
      <c r="S3" s="104" t="s">
        <v>135</v>
      </c>
      <c r="T3" s="27" t="s">
        <v>151</v>
      </c>
      <c r="U3" s="27" t="s">
        <v>65</v>
      </c>
      <c r="V3" s="53" t="s">
        <v>89</v>
      </c>
      <c r="W3" s="54" t="s">
        <v>90</v>
      </c>
      <c r="X3" s="54" t="s">
        <v>126</v>
      </c>
      <c r="Y3" s="54" t="s">
        <v>127</v>
      </c>
      <c r="Z3" s="54" t="s">
        <v>128</v>
      </c>
      <c r="AA3" s="54" t="s">
        <v>133</v>
      </c>
      <c r="AB3" s="54" t="s">
        <v>134</v>
      </c>
      <c r="AC3" s="54" t="s">
        <v>142</v>
      </c>
      <c r="AD3" s="54" t="s">
        <v>141</v>
      </c>
      <c r="AE3" s="54" t="s">
        <v>143</v>
      </c>
      <c r="AF3" s="54" t="s">
        <v>144</v>
      </c>
      <c r="AG3" s="54" t="s">
        <v>145</v>
      </c>
      <c r="AH3" s="54" t="s">
        <v>148</v>
      </c>
      <c r="AI3" s="54" t="s">
        <v>135</v>
      </c>
      <c r="AJ3" s="54" t="s">
        <v>147</v>
      </c>
      <c r="AK3" s="54" t="s">
        <v>149</v>
      </c>
      <c r="AL3" s="54" t="s">
        <v>150</v>
      </c>
      <c r="AM3" s="54" t="s">
        <v>146</v>
      </c>
      <c r="AN3" s="54" t="s">
        <v>91</v>
      </c>
      <c r="AO3" s="54" t="s">
        <v>92</v>
      </c>
      <c r="AP3" s="54" t="s">
        <v>93</v>
      </c>
      <c r="AQ3" s="54" t="s">
        <v>146</v>
      </c>
      <c r="AR3" s="54" t="s">
        <v>142</v>
      </c>
      <c r="AS3" s="54" t="s">
        <v>141</v>
      </c>
      <c r="AT3" s="54" t="s">
        <v>143</v>
      </c>
      <c r="AU3" s="54" t="s">
        <v>144</v>
      </c>
      <c r="AV3" s="54" t="s">
        <v>145</v>
      </c>
      <c r="AW3" s="54" t="s">
        <v>148</v>
      </c>
      <c r="AX3" s="54" t="s">
        <v>158</v>
      </c>
      <c r="AY3" s="60" t="s">
        <v>147</v>
      </c>
      <c r="AZ3" s="54" t="s">
        <v>146</v>
      </c>
      <c r="BA3" s="54" t="s">
        <v>142</v>
      </c>
      <c r="BB3" s="54" t="s">
        <v>141</v>
      </c>
      <c r="BC3" s="54" t="s">
        <v>143</v>
      </c>
      <c r="BD3" s="54" t="s">
        <v>144</v>
      </c>
      <c r="BE3" s="54" t="s">
        <v>145</v>
      </c>
      <c r="BF3" s="54" t="s">
        <v>148</v>
      </c>
      <c r="BG3" s="54" t="s">
        <v>158</v>
      </c>
      <c r="BH3" s="60" t="s">
        <v>147</v>
      </c>
      <c r="BI3" s="54" t="s">
        <v>161</v>
      </c>
      <c r="BJ3" s="54" t="s">
        <v>152</v>
      </c>
      <c r="BK3" s="54" t="s">
        <v>153</v>
      </c>
      <c r="BL3" s="54" t="s">
        <v>156</v>
      </c>
      <c r="BM3" s="54" t="s">
        <v>157</v>
      </c>
      <c r="BN3" s="54" t="s">
        <v>154</v>
      </c>
      <c r="BO3" s="54" t="s">
        <v>155</v>
      </c>
      <c r="BP3" s="54" t="s">
        <v>160</v>
      </c>
      <c r="BQ3" s="54" t="s">
        <v>165</v>
      </c>
      <c r="BR3" s="54" t="s">
        <v>95</v>
      </c>
      <c r="BS3" s="62"/>
      <c r="BT3" s="62"/>
      <c r="BU3" s="62"/>
      <c r="BV3" s="62"/>
      <c r="BW3" s="62"/>
      <c r="BX3" s="62"/>
      <c r="BY3" s="62"/>
      <c r="BZ3" s="62"/>
      <c r="CA3" s="62"/>
      <c r="CB3" s="62"/>
      <c r="CC3" s="62"/>
      <c r="CD3" s="62"/>
      <c r="CE3" s="62"/>
      <c r="CF3" s="62"/>
      <c r="CG3" s="62"/>
      <c r="CH3" s="62"/>
      <c r="CI3" s="62"/>
      <c r="CJ3" s="62"/>
      <c r="CK3" s="62"/>
      <c r="CL3" s="62"/>
      <c r="CM3" s="62"/>
      <c r="CN3" s="62"/>
      <c r="CO3" s="62"/>
      <c r="CP3" s="62"/>
      <c r="CQ3" s="62"/>
      <c r="CR3" s="62"/>
      <c r="CS3" s="62"/>
      <c r="CT3" s="62"/>
      <c r="CU3" s="62"/>
      <c r="CV3" s="62"/>
      <c r="CW3" s="62"/>
    </row>
    <row r="8" spans="1:101" s="91" customFormat="1" x14ac:dyDescent="0.2">
      <c r="A8" s="123"/>
      <c r="B8" s="1"/>
      <c r="C8" s="19"/>
      <c r="D8" s="19"/>
      <c r="E8" s="112"/>
      <c r="F8" s="16"/>
      <c r="G8" s="16"/>
      <c r="H8" s="17"/>
      <c r="I8" s="18"/>
      <c r="J8" s="113"/>
      <c r="K8" s="110"/>
      <c r="L8" s="21"/>
      <c r="M8" s="120"/>
      <c r="N8" s="88"/>
      <c r="O8" s="88"/>
      <c r="P8" s="88"/>
      <c r="Q8" s="89"/>
      <c r="R8" s="88"/>
      <c r="S8" s="90"/>
      <c r="T8" s="21"/>
      <c r="U8" s="20"/>
      <c r="V8" s="55"/>
      <c r="W8" s="55"/>
      <c r="X8" s="55"/>
      <c r="Y8" s="55"/>
      <c r="Z8" s="55"/>
      <c r="AA8" s="114"/>
      <c r="AB8" s="114"/>
      <c r="AC8" s="114"/>
      <c r="AD8" s="77"/>
      <c r="AE8" s="77"/>
      <c r="AF8" s="77"/>
      <c r="AG8" s="77"/>
      <c r="AH8" s="77"/>
      <c r="AI8" s="77"/>
      <c r="AJ8" s="55"/>
      <c r="AK8" s="55"/>
      <c r="AL8" s="55"/>
      <c r="AM8" s="55"/>
      <c r="AN8" s="55"/>
      <c r="AO8" s="55"/>
      <c r="AP8" s="55"/>
      <c r="AQ8" s="55"/>
      <c r="AR8" s="55"/>
      <c r="AS8" s="55"/>
      <c r="AT8" s="55"/>
      <c r="AU8" s="55"/>
      <c r="AV8" s="55"/>
      <c r="AW8" s="55"/>
      <c r="AX8" s="55"/>
      <c r="AY8" s="55"/>
      <c r="AZ8" s="55"/>
      <c r="BA8" s="55"/>
      <c r="BB8" s="55"/>
      <c r="BC8" s="55"/>
      <c r="BD8" s="55"/>
      <c r="BE8" s="55"/>
      <c r="BF8" s="55"/>
      <c r="BG8" s="55"/>
      <c r="BH8" s="55"/>
      <c r="BI8" s="55"/>
      <c r="BJ8" s="55"/>
      <c r="BK8" s="55"/>
      <c r="BL8" s="55"/>
      <c r="BM8" s="55"/>
      <c r="BN8" s="55"/>
      <c r="BO8" s="55"/>
      <c r="BP8" s="55"/>
      <c r="BQ8" s="55"/>
      <c r="BR8" s="55"/>
      <c r="BS8" s="92"/>
      <c r="BT8" s="92"/>
      <c r="BU8" s="92"/>
      <c r="BV8" s="92"/>
      <c r="BW8" s="92"/>
      <c r="BX8" s="92"/>
      <c r="BY8" s="92"/>
      <c r="BZ8" s="92"/>
      <c r="CA8" s="92"/>
      <c r="CB8" s="92"/>
      <c r="CC8" s="92"/>
      <c r="CD8" s="92"/>
      <c r="CE8" s="92"/>
      <c r="CF8" s="92"/>
      <c r="CG8" s="92"/>
      <c r="CH8" s="92"/>
      <c r="CI8" s="92"/>
      <c r="CJ8" s="92"/>
      <c r="CK8" s="92"/>
      <c r="CL8" s="92"/>
      <c r="CM8" s="92"/>
      <c r="CN8" s="92"/>
      <c r="CO8" s="92"/>
      <c r="CP8" s="92"/>
      <c r="CQ8" s="92"/>
      <c r="CR8" s="92"/>
      <c r="CS8" s="92"/>
      <c r="CT8" s="92"/>
      <c r="CU8" s="92"/>
      <c r="CV8" s="92"/>
      <c r="CW8" s="92"/>
    </row>
    <row r="244" spans="1:70" s="98" customFormat="1" x14ac:dyDescent="0.2">
      <c r="A244" s="123"/>
      <c r="B244" s="1"/>
      <c r="C244" s="19"/>
      <c r="D244" s="19"/>
      <c r="E244" s="112"/>
      <c r="F244" s="16"/>
      <c r="G244" s="16"/>
      <c r="H244" s="17"/>
      <c r="I244" s="18"/>
      <c r="J244" s="113"/>
      <c r="K244" s="110"/>
      <c r="L244" s="21"/>
      <c r="M244" s="120"/>
      <c r="N244" s="88"/>
      <c r="O244" s="88"/>
      <c r="P244" s="88"/>
      <c r="Q244" s="89"/>
      <c r="R244" s="88"/>
      <c r="S244" s="90"/>
      <c r="T244" s="21"/>
      <c r="U244" s="20"/>
      <c r="V244" s="55"/>
      <c r="W244" s="55"/>
      <c r="X244" s="55"/>
      <c r="Y244" s="55"/>
      <c r="Z244" s="55"/>
      <c r="AA244" s="114"/>
      <c r="AB244" s="114"/>
      <c r="AC244" s="114"/>
      <c r="AD244" s="77"/>
      <c r="AE244" s="77"/>
      <c r="AF244" s="77"/>
      <c r="AG244" s="77"/>
      <c r="AH244" s="77"/>
      <c r="AI244" s="77"/>
      <c r="AJ244" s="55"/>
      <c r="AK244" s="55"/>
      <c r="AL244" s="55"/>
      <c r="AM244" s="55"/>
      <c r="AN244" s="55"/>
      <c r="AO244" s="55"/>
      <c r="AP244" s="55"/>
      <c r="AQ244" s="55"/>
      <c r="AR244" s="55"/>
      <c r="AS244" s="55"/>
      <c r="AT244" s="55"/>
      <c r="AU244" s="55"/>
      <c r="AV244" s="55"/>
      <c r="AW244" s="55"/>
      <c r="AX244" s="55"/>
      <c r="AY244" s="55"/>
      <c r="AZ244" s="55"/>
      <c r="BA244" s="55"/>
      <c r="BB244" s="55"/>
      <c r="BC244" s="55"/>
      <c r="BD244" s="55"/>
      <c r="BE244" s="55"/>
      <c r="BF244" s="55"/>
      <c r="BG244" s="55"/>
      <c r="BH244" s="55"/>
      <c r="BI244" s="55"/>
      <c r="BJ244" s="55"/>
      <c r="BK244" s="55"/>
      <c r="BL244" s="55"/>
      <c r="BM244" s="55"/>
      <c r="BN244" s="55"/>
      <c r="BO244" s="55"/>
      <c r="BP244" s="55"/>
      <c r="BQ244" s="55"/>
      <c r="BR244" s="55"/>
    </row>
    <row r="254" spans="1:70" s="98" customFormat="1" x14ac:dyDescent="0.2">
      <c r="A254" s="123"/>
      <c r="B254" s="1"/>
      <c r="C254" s="19"/>
      <c r="D254" s="19"/>
      <c r="E254" s="112"/>
      <c r="F254" s="16"/>
      <c r="G254" s="16"/>
      <c r="H254" s="17"/>
      <c r="I254" s="18"/>
      <c r="J254" s="113"/>
      <c r="K254" s="110"/>
      <c r="L254" s="21"/>
      <c r="M254" s="120"/>
      <c r="N254" s="88"/>
      <c r="O254" s="88"/>
      <c r="P254" s="88"/>
      <c r="Q254" s="89"/>
      <c r="R254" s="88"/>
      <c r="S254" s="90"/>
      <c r="T254" s="21"/>
      <c r="U254" s="20"/>
      <c r="V254" s="55"/>
      <c r="W254" s="55"/>
      <c r="X254" s="55"/>
      <c r="Y254" s="55"/>
      <c r="Z254" s="55"/>
      <c r="AA254" s="114"/>
      <c r="AB254" s="114"/>
      <c r="AC254" s="114"/>
      <c r="AD254" s="77"/>
      <c r="AE254" s="77"/>
      <c r="AF254" s="77"/>
      <c r="AG254" s="77"/>
      <c r="AH254" s="77"/>
      <c r="AI254" s="77"/>
      <c r="AJ254" s="55"/>
      <c r="AK254" s="55"/>
      <c r="AL254" s="55"/>
      <c r="AM254" s="55"/>
      <c r="AN254" s="55"/>
      <c r="AO254" s="55"/>
      <c r="AP254" s="55"/>
      <c r="AQ254" s="55"/>
      <c r="AR254" s="55"/>
      <c r="AS254" s="55"/>
      <c r="AT254" s="55"/>
      <c r="AU254" s="55"/>
      <c r="AV254" s="55"/>
      <c r="AW254" s="55"/>
      <c r="AX254" s="55"/>
      <c r="AY254" s="55"/>
      <c r="AZ254" s="55"/>
      <c r="BA254" s="55"/>
      <c r="BB254" s="55"/>
      <c r="BC254" s="55"/>
      <c r="BD254" s="55"/>
      <c r="BE254" s="55"/>
      <c r="BF254" s="55"/>
      <c r="BG254" s="55"/>
      <c r="BH254" s="55"/>
      <c r="BI254" s="55"/>
      <c r="BJ254" s="55"/>
      <c r="BK254" s="55"/>
      <c r="BL254" s="55"/>
      <c r="BM254" s="55"/>
      <c r="BN254" s="55"/>
      <c r="BO254" s="55"/>
      <c r="BP254" s="55"/>
      <c r="BQ254" s="55"/>
      <c r="BR254" s="55"/>
    </row>
    <row r="265" spans="1:70" s="98" customFormat="1" x14ac:dyDescent="0.2">
      <c r="A265" s="123"/>
      <c r="B265" s="1"/>
      <c r="C265" s="19"/>
      <c r="D265" s="19"/>
      <c r="E265" s="112"/>
      <c r="F265" s="16"/>
      <c r="G265" s="16"/>
      <c r="H265" s="17"/>
      <c r="I265" s="18"/>
      <c r="J265" s="113"/>
      <c r="K265" s="110"/>
      <c r="L265" s="21"/>
      <c r="M265" s="120"/>
      <c r="N265" s="88"/>
      <c r="O265" s="88"/>
      <c r="P265" s="88"/>
      <c r="Q265" s="89"/>
      <c r="R265" s="88"/>
      <c r="S265" s="90"/>
      <c r="T265" s="21"/>
      <c r="U265" s="20"/>
      <c r="V265" s="55"/>
      <c r="W265" s="55"/>
      <c r="X265" s="55"/>
      <c r="Y265" s="55"/>
      <c r="Z265" s="55"/>
      <c r="AA265" s="114"/>
      <c r="AB265" s="114"/>
      <c r="AC265" s="114"/>
      <c r="AD265" s="77"/>
      <c r="AE265" s="77"/>
      <c r="AF265" s="77"/>
      <c r="AG265" s="77"/>
      <c r="AH265" s="77"/>
      <c r="AI265" s="77"/>
      <c r="AJ265" s="55"/>
      <c r="AK265" s="55"/>
      <c r="AL265" s="55"/>
      <c r="AM265" s="55"/>
      <c r="AN265" s="55"/>
      <c r="AO265" s="55"/>
      <c r="AP265" s="55"/>
      <c r="AQ265" s="55"/>
      <c r="AR265" s="55"/>
      <c r="AS265" s="55"/>
      <c r="AT265" s="55"/>
      <c r="AU265" s="55"/>
      <c r="AV265" s="55"/>
      <c r="AW265" s="55"/>
      <c r="AX265" s="55"/>
      <c r="AY265" s="55"/>
      <c r="AZ265" s="55"/>
      <c r="BA265" s="55"/>
      <c r="BB265" s="55"/>
      <c r="BC265" s="55"/>
      <c r="BD265" s="55"/>
      <c r="BE265" s="55"/>
      <c r="BF265" s="55"/>
      <c r="BG265" s="55"/>
      <c r="BH265" s="55"/>
      <c r="BI265" s="55"/>
      <c r="BJ265" s="55"/>
      <c r="BK265" s="55"/>
      <c r="BL265" s="55"/>
      <c r="BM265" s="55"/>
      <c r="BN265" s="55"/>
      <c r="BO265" s="55"/>
      <c r="BP265" s="55"/>
      <c r="BQ265" s="55"/>
      <c r="BR265" s="55"/>
    </row>
  </sheetData>
  <autoFilter ref="A3:CW2677" xr:uid="{00000000-0009-0000-0000-000003000000}"/>
  <sortState xmlns:xlrd2="http://schemas.microsoft.com/office/spreadsheetml/2017/richdata2" ref="A4:BR1048507">
    <sortCondition ref="A4:A1048507"/>
    <sortCondition ref="B4:B1048507"/>
  </sortState>
  <dataConsolidate/>
  <mergeCells count="9">
    <mergeCell ref="AZ2:BH2"/>
    <mergeCell ref="AQ2:AY2"/>
    <mergeCell ref="V1:BR1"/>
    <mergeCell ref="H2:I2"/>
    <mergeCell ref="N2:P2"/>
    <mergeCell ref="Q2:S2"/>
    <mergeCell ref="AA2:AM2"/>
    <mergeCell ref="AN2:AP2"/>
    <mergeCell ref="J2:M2"/>
  </mergeCells>
  <conditionalFormatting sqref="X1:Z1048576">
    <cfRule type="cellIs" dxfId="0" priority="2" operator="equal">
      <formula>"KO"</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400050</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19</xdr:col>
                    <xdr:colOff>485775</xdr:colOff>
                    <xdr:row>0</xdr:row>
                    <xdr:rowOff>28575</xdr:rowOff>
                  </from>
                  <to>
                    <xdr:col>20</xdr:col>
                    <xdr:colOff>876300</xdr:colOff>
                    <xdr:row>0</xdr:row>
                    <xdr:rowOff>381000</xdr:rowOff>
                  </to>
                </anchor>
              </controlPr>
            </control>
          </mc:Choice>
        </mc:AlternateContent>
        <mc:AlternateContent xmlns:mc="http://schemas.openxmlformats.org/markup-compatibility/2006">
          <mc:Choice Requires="x14">
            <control shapeId="11277" r:id="rId6" name="Button 13">
              <controlPr defaultSize="0" print="0" autoFill="0" autoPict="0" macro="[0]!Bouton_Accueil_Cliquer">
                <anchor moveWithCells="1" sizeWithCells="1">
                  <from>
                    <xdr:col>70</xdr:col>
                    <xdr:colOff>76200</xdr:colOff>
                    <xdr:row>0</xdr:row>
                    <xdr:rowOff>38100</xdr:rowOff>
                  </from>
                  <to>
                    <xdr:col>71</xdr:col>
                    <xdr:colOff>590550</xdr:colOff>
                    <xdr:row>0</xdr:row>
                    <xdr:rowOff>400050</xdr:rowOff>
                  </to>
                </anchor>
              </controlPr>
            </control>
          </mc:Choice>
        </mc:AlternateContent>
        <mc:AlternateContent xmlns:mc="http://schemas.openxmlformats.org/markup-compatibility/2006">
          <mc:Choice Requires="x14">
            <control shapeId="11279" r:id="rId7" name="Button 2">
              <controlPr defaultSize="0" print="0" autoFill="0" autoPict="0" macro="[0]!Effacage_Donnees">
                <anchor>
                  <from>
                    <xdr:col>54</xdr:col>
                    <xdr:colOff>828675</xdr:colOff>
                    <xdr:row>0</xdr:row>
                    <xdr:rowOff>38100</xdr:rowOff>
                  </from>
                  <to>
                    <xdr:col>56</xdr:col>
                    <xdr:colOff>438150</xdr:colOff>
                    <xdr:row>1</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I55"/>
  <sheetViews>
    <sheetView workbookViewId="0">
      <selection activeCell="N28" sqref="N28"/>
    </sheetView>
  </sheetViews>
  <sheetFormatPr baseColWidth="10" defaultColWidth="11.42578125" defaultRowHeight="12.75" x14ac:dyDescent="0.2"/>
  <cols>
    <col min="2" max="2" width="17.7109375" style="83" bestFit="1" customWidth="1"/>
    <col min="4" max="4" width="20.28515625" style="85" bestFit="1" customWidth="1"/>
  </cols>
  <sheetData>
    <row r="1" spans="1:9" x14ac:dyDescent="0.2">
      <c r="A1" s="2" t="s">
        <v>58</v>
      </c>
      <c r="B1" s="11" t="s">
        <v>62</v>
      </c>
      <c r="C1" s="3" t="s">
        <v>59</v>
      </c>
      <c r="D1" s="84" t="s">
        <v>61</v>
      </c>
      <c r="E1" s="78" t="s">
        <v>60</v>
      </c>
      <c r="F1" s="4">
        <f>MAX(B1:B10000)</f>
        <v>0</v>
      </c>
      <c r="G1" s="5" t="s">
        <v>2</v>
      </c>
    </row>
    <row r="3" spans="1:9" x14ac:dyDescent="0.2">
      <c r="E3" s="79" t="s">
        <v>2</v>
      </c>
      <c r="F3" s="7" t="s">
        <v>53</v>
      </c>
      <c r="G3" s="8" t="s">
        <v>0</v>
      </c>
      <c r="H3" s="8" t="s">
        <v>55</v>
      </c>
      <c r="I3" s="8" t="s">
        <v>1</v>
      </c>
    </row>
    <row r="4" spans="1:9" x14ac:dyDescent="0.2">
      <c r="E4" s="80" t="s">
        <v>3</v>
      </c>
      <c r="F4" s="13">
        <v>0</v>
      </c>
      <c r="G4" s="14" t="e">
        <f t="shared" ref="G4:G53" si="0">F4/$F$55*100</f>
        <v>#DIV/0!</v>
      </c>
      <c r="H4" s="14">
        <v>0</v>
      </c>
      <c r="I4" s="14" t="e">
        <f t="shared" ref="I4:I53" si="1">H4/$H$55*100</f>
        <v>#DIV/0!</v>
      </c>
    </row>
    <row r="5" spans="1:9" x14ac:dyDescent="0.2">
      <c r="E5" s="80" t="s">
        <v>4</v>
      </c>
      <c r="F5" s="13">
        <v>0</v>
      </c>
      <c r="G5" s="14" t="e">
        <f t="shared" si="0"/>
        <v>#DIV/0!</v>
      </c>
      <c r="H5" s="14">
        <v>0</v>
      </c>
      <c r="I5" s="14" t="e">
        <f t="shared" si="1"/>
        <v>#DIV/0!</v>
      </c>
    </row>
    <row r="6" spans="1:9" x14ac:dyDescent="0.2">
      <c r="E6" s="80" t="s">
        <v>5</v>
      </c>
      <c r="F6" s="13">
        <v>0</v>
      </c>
      <c r="G6" s="14" t="e">
        <f t="shared" si="0"/>
        <v>#DIV/0!</v>
      </c>
      <c r="H6" s="14">
        <v>0</v>
      </c>
      <c r="I6" s="14" t="e">
        <f t="shared" si="1"/>
        <v>#DIV/0!</v>
      </c>
    </row>
    <row r="7" spans="1:9" x14ac:dyDescent="0.2">
      <c r="E7" s="80" t="s">
        <v>6</v>
      </c>
      <c r="F7" s="13">
        <v>0</v>
      </c>
      <c r="G7" s="14" t="e">
        <f t="shared" si="0"/>
        <v>#DIV/0!</v>
      </c>
      <c r="H7" s="14">
        <v>0</v>
      </c>
      <c r="I7" s="14" t="e">
        <f t="shared" si="1"/>
        <v>#DIV/0!</v>
      </c>
    </row>
    <row r="8" spans="1:9" x14ac:dyDescent="0.2">
      <c r="E8" s="80" t="s">
        <v>7</v>
      </c>
      <c r="F8" s="13">
        <v>0</v>
      </c>
      <c r="G8" s="14" t="e">
        <f t="shared" si="0"/>
        <v>#DIV/0!</v>
      </c>
      <c r="H8" s="14">
        <v>0</v>
      </c>
      <c r="I8" s="14" t="e">
        <f t="shared" si="1"/>
        <v>#DIV/0!</v>
      </c>
    </row>
    <row r="9" spans="1:9" x14ac:dyDescent="0.2">
      <c r="E9" s="80" t="s">
        <v>8</v>
      </c>
      <c r="F9" s="13">
        <v>0</v>
      </c>
      <c r="G9" s="14" t="e">
        <f t="shared" si="0"/>
        <v>#DIV/0!</v>
      </c>
      <c r="H9" s="14">
        <v>0</v>
      </c>
      <c r="I9" s="14" t="e">
        <f t="shared" si="1"/>
        <v>#DIV/0!</v>
      </c>
    </row>
    <row r="10" spans="1:9" x14ac:dyDescent="0.2">
      <c r="E10" s="80" t="s">
        <v>9</v>
      </c>
      <c r="F10" s="13">
        <v>0</v>
      </c>
      <c r="G10" s="14" t="e">
        <f t="shared" si="0"/>
        <v>#DIV/0!</v>
      </c>
      <c r="H10" s="14">
        <v>0</v>
      </c>
      <c r="I10" s="14" t="e">
        <f t="shared" si="1"/>
        <v>#DIV/0!</v>
      </c>
    </row>
    <row r="11" spans="1:9" x14ac:dyDescent="0.2">
      <c r="E11" s="80" t="s">
        <v>10</v>
      </c>
      <c r="F11" s="13">
        <v>0</v>
      </c>
      <c r="G11" s="14" t="e">
        <f t="shared" si="0"/>
        <v>#DIV/0!</v>
      </c>
      <c r="H11" s="14">
        <v>0</v>
      </c>
      <c r="I11" s="14" t="e">
        <f t="shared" si="1"/>
        <v>#DIV/0!</v>
      </c>
    </row>
    <row r="12" spans="1:9" x14ac:dyDescent="0.2">
      <c r="E12" s="80" t="s">
        <v>11</v>
      </c>
      <c r="F12" s="13">
        <v>0</v>
      </c>
      <c r="G12" s="14" t="e">
        <f t="shared" si="0"/>
        <v>#DIV/0!</v>
      </c>
      <c r="H12" s="14">
        <v>0</v>
      </c>
      <c r="I12" s="14" t="e">
        <f t="shared" si="1"/>
        <v>#DIV/0!</v>
      </c>
    </row>
    <row r="13" spans="1:9" x14ac:dyDescent="0.2">
      <c r="E13" s="80" t="s">
        <v>12</v>
      </c>
      <c r="F13" s="13">
        <v>0</v>
      </c>
      <c r="G13" s="14" t="e">
        <f t="shared" si="0"/>
        <v>#DIV/0!</v>
      </c>
      <c r="H13" s="14">
        <v>0</v>
      </c>
      <c r="I13" s="14" t="e">
        <f t="shared" si="1"/>
        <v>#DIV/0!</v>
      </c>
    </row>
    <row r="14" spans="1:9" x14ac:dyDescent="0.2">
      <c r="E14" s="80" t="s">
        <v>13</v>
      </c>
      <c r="F14" s="13">
        <v>0</v>
      </c>
      <c r="G14" s="14" t="e">
        <f t="shared" si="0"/>
        <v>#DIV/0!</v>
      </c>
      <c r="H14" s="14">
        <v>0</v>
      </c>
      <c r="I14" s="14" t="e">
        <f t="shared" si="1"/>
        <v>#DIV/0!</v>
      </c>
    </row>
    <row r="15" spans="1:9" x14ac:dyDescent="0.2">
      <c r="E15" s="80" t="s">
        <v>14</v>
      </c>
      <c r="F15" s="13">
        <v>0</v>
      </c>
      <c r="G15" s="14" t="e">
        <f t="shared" si="0"/>
        <v>#DIV/0!</v>
      </c>
      <c r="H15" s="14">
        <v>0</v>
      </c>
      <c r="I15" s="14" t="e">
        <f t="shared" si="1"/>
        <v>#DIV/0!</v>
      </c>
    </row>
    <row r="16" spans="1:9" x14ac:dyDescent="0.2">
      <c r="E16" s="80" t="s">
        <v>15</v>
      </c>
      <c r="F16" s="13">
        <v>0</v>
      </c>
      <c r="G16" s="14" t="e">
        <f t="shared" si="0"/>
        <v>#DIV/0!</v>
      </c>
      <c r="H16" s="14">
        <v>0</v>
      </c>
      <c r="I16" s="14" t="e">
        <f t="shared" si="1"/>
        <v>#DIV/0!</v>
      </c>
    </row>
    <row r="17" spans="5:9" x14ac:dyDescent="0.2">
      <c r="E17" s="80" t="s">
        <v>16</v>
      </c>
      <c r="F17" s="13">
        <v>0</v>
      </c>
      <c r="G17" s="14" t="e">
        <f t="shared" si="0"/>
        <v>#DIV/0!</v>
      </c>
      <c r="H17" s="14">
        <v>0</v>
      </c>
      <c r="I17" s="14" t="e">
        <f t="shared" si="1"/>
        <v>#DIV/0!</v>
      </c>
    </row>
    <row r="18" spans="5:9" x14ac:dyDescent="0.2">
      <c r="E18" s="80" t="s">
        <v>17</v>
      </c>
      <c r="F18" s="13">
        <v>0</v>
      </c>
      <c r="G18" s="14" t="e">
        <f t="shared" si="0"/>
        <v>#DIV/0!</v>
      </c>
      <c r="H18" s="14">
        <v>0</v>
      </c>
      <c r="I18" s="14" t="e">
        <f t="shared" si="1"/>
        <v>#DIV/0!</v>
      </c>
    </row>
    <row r="19" spans="5:9" x14ac:dyDescent="0.2">
      <c r="E19" s="80" t="s">
        <v>18</v>
      </c>
      <c r="F19" s="13">
        <v>0</v>
      </c>
      <c r="G19" s="14" t="e">
        <f t="shared" si="0"/>
        <v>#DIV/0!</v>
      </c>
      <c r="H19" s="14">
        <v>0</v>
      </c>
      <c r="I19" s="14" t="e">
        <f t="shared" si="1"/>
        <v>#DIV/0!</v>
      </c>
    </row>
    <row r="20" spans="5:9" x14ac:dyDescent="0.2">
      <c r="E20" s="80" t="s">
        <v>19</v>
      </c>
      <c r="F20" s="13">
        <v>0</v>
      </c>
      <c r="G20" s="14" t="e">
        <f t="shared" si="0"/>
        <v>#DIV/0!</v>
      </c>
      <c r="H20" s="14">
        <v>0</v>
      </c>
      <c r="I20" s="14" t="e">
        <f t="shared" si="1"/>
        <v>#DIV/0!</v>
      </c>
    </row>
    <row r="21" spans="5:9" x14ac:dyDescent="0.2">
      <c r="E21" s="80" t="s">
        <v>20</v>
      </c>
      <c r="F21" s="13">
        <v>0</v>
      </c>
      <c r="G21" s="14" t="e">
        <f t="shared" si="0"/>
        <v>#DIV/0!</v>
      </c>
      <c r="H21" s="14">
        <v>0</v>
      </c>
      <c r="I21" s="14" t="e">
        <f t="shared" si="1"/>
        <v>#DIV/0!</v>
      </c>
    </row>
    <row r="22" spans="5:9" x14ac:dyDescent="0.2">
      <c r="E22" s="80" t="s">
        <v>21</v>
      </c>
      <c r="F22" s="13">
        <v>0</v>
      </c>
      <c r="G22" s="14" t="e">
        <f t="shared" si="0"/>
        <v>#DIV/0!</v>
      </c>
      <c r="H22" s="14">
        <v>0</v>
      </c>
      <c r="I22" s="14" t="e">
        <f t="shared" si="1"/>
        <v>#DIV/0!</v>
      </c>
    </row>
    <row r="23" spans="5:9" x14ac:dyDescent="0.2">
      <c r="E23" s="80" t="s">
        <v>22</v>
      </c>
      <c r="F23" s="13">
        <v>0</v>
      </c>
      <c r="G23" s="14" t="e">
        <f t="shared" si="0"/>
        <v>#DIV/0!</v>
      </c>
      <c r="H23" s="14">
        <v>0</v>
      </c>
      <c r="I23" s="14" t="e">
        <f t="shared" si="1"/>
        <v>#DIV/0!</v>
      </c>
    </row>
    <row r="24" spans="5:9" x14ac:dyDescent="0.2">
      <c r="E24" s="80" t="s">
        <v>23</v>
      </c>
      <c r="F24" s="13">
        <v>0</v>
      </c>
      <c r="G24" s="14" t="e">
        <f t="shared" si="0"/>
        <v>#DIV/0!</v>
      </c>
      <c r="H24" s="14">
        <v>0</v>
      </c>
      <c r="I24" s="14" t="e">
        <f t="shared" si="1"/>
        <v>#DIV/0!</v>
      </c>
    </row>
    <row r="25" spans="5:9" x14ac:dyDescent="0.2">
      <c r="E25" s="80" t="s">
        <v>24</v>
      </c>
      <c r="F25" s="13">
        <v>0</v>
      </c>
      <c r="G25" s="14" t="e">
        <f t="shared" si="0"/>
        <v>#DIV/0!</v>
      </c>
      <c r="H25" s="14">
        <v>0</v>
      </c>
      <c r="I25" s="14" t="e">
        <f t="shared" si="1"/>
        <v>#DIV/0!</v>
      </c>
    </row>
    <row r="26" spans="5:9" x14ac:dyDescent="0.2">
      <c r="E26" s="80" t="s">
        <v>25</v>
      </c>
      <c r="F26" s="13">
        <v>0</v>
      </c>
      <c r="G26" s="14" t="e">
        <f t="shared" si="0"/>
        <v>#DIV/0!</v>
      </c>
      <c r="H26" s="14">
        <v>0</v>
      </c>
      <c r="I26" s="14" t="e">
        <f t="shared" si="1"/>
        <v>#DIV/0!</v>
      </c>
    </row>
    <row r="27" spans="5:9" x14ac:dyDescent="0.2">
      <c r="E27" s="80" t="s">
        <v>26</v>
      </c>
      <c r="F27" s="13">
        <v>0</v>
      </c>
      <c r="G27" s="14" t="e">
        <f t="shared" si="0"/>
        <v>#DIV/0!</v>
      </c>
      <c r="H27" s="14">
        <v>0</v>
      </c>
      <c r="I27" s="14" t="e">
        <f t="shared" si="1"/>
        <v>#DIV/0!</v>
      </c>
    </row>
    <row r="28" spans="5:9" x14ac:dyDescent="0.2">
      <c r="E28" s="80" t="s">
        <v>27</v>
      </c>
      <c r="F28" s="13">
        <v>0</v>
      </c>
      <c r="G28" s="14" t="e">
        <f t="shared" si="0"/>
        <v>#DIV/0!</v>
      </c>
      <c r="H28" s="14">
        <v>0</v>
      </c>
      <c r="I28" s="14" t="e">
        <f t="shared" si="1"/>
        <v>#DIV/0!</v>
      </c>
    </row>
    <row r="29" spans="5:9" x14ac:dyDescent="0.2">
      <c r="E29" s="80" t="s">
        <v>28</v>
      </c>
      <c r="F29" s="13">
        <v>0</v>
      </c>
      <c r="G29" s="14" t="e">
        <f t="shared" si="0"/>
        <v>#DIV/0!</v>
      </c>
      <c r="H29" s="14">
        <v>0</v>
      </c>
      <c r="I29" s="14" t="e">
        <f t="shared" si="1"/>
        <v>#DIV/0!</v>
      </c>
    </row>
    <row r="30" spans="5:9" x14ac:dyDescent="0.2">
      <c r="E30" s="80" t="s">
        <v>29</v>
      </c>
      <c r="F30" s="13">
        <v>0</v>
      </c>
      <c r="G30" s="14" t="e">
        <f t="shared" si="0"/>
        <v>#DIV/0!</v>
      </c>
      <c r="H30" s="14">
        <v>0</v>
      </c>
      <c r="I30" s="14" t="e">
        <f t="shared" si="1"/>
        <v>#DIV/0!</v>
      </c>
    </row>
    <row r="31" spans="5:9" x14ac:dyDescent="0.2">
      <c r="E31" s="80" t="s">
        <v>30</v>
      </c>
      <c r="F31" s="13">
        <v>0</v>
      </c>
      <c r="G31" s="14" t="e">
        <f t="shared" si="0"/>
        <v>#DIV/0!</v>
      </c>
      <c r="H31" s="14">
        <v>0</v>
      </c>
      <c r="I31" s="14" t="e">
        <f t="shared" si="1"/>
        <v>#DIV/0!</v>
      </c>
    </row>
    <row r="32" spans="5:9" x14ac:dyDescent="0.2">
      <c r="E32" s="80" t="s">
        <v>31</v>
      </c>
      <c r="F32" s="13">
        <v>0</v>
      </c>
      <c r="G32" s="14" t="e">
        <f t="shared" si="0"/>
        <v>#DIV/0!</v>
      </c>
      <c r="H32" s="14">
        <v>0</v>
      </c>
      <c r="I32" s="14" t="e">
        <f t="shared" si="1"/>
        <v>#DIV/0!</v>
      </c>
    </row>
    <row r="33" spans="5:9" x14ac:dyDescent="0.2">
      <c r="E33" s="80" t="s">
        <v>32</v>
      </c>
      <c r="F33" s="13">
        <v>0</v>
      </c>
      <c r="G33" s="14" t="e">
        <f t="shared" si="0"/>
        <v>#DIV/0!</v>
      </c>
      <c r="H33" s="14">
        <v>0</v>
      </c>
      <c r="I33" s="14" t="e">
        <f t="shared" si="1"/>
        <v>#DIV/0!</v>
      </c>
    </row>
    <row r="34" spans="5:9" x14ac:dyDescent="0.2">
      <c r="E34" s="80" t="s">
        <v>33</v>
      </c>
      <c r="F34" s="13">
        <v>0</v>
      </c>
      <c r="G34" s="14" t="e">
        <f t="shared" si="0"/>
        <v>#DIV/0!</v>
      </c>
      <c r="H34" s="14">
        <v>0</v>
      </c>
      <c r="I34" s="14" t="e">
        <f t="shared" si="1"/>
        <v>#DIV/0!</v>
      </c>
    </row>
    <row r="35" spans="5:9" x14ac:dyDescent="0.2">
      <c r="E35" s="80" t="s">
        <v>34</v>
      </c>
      <c r="F35" s="13">
        <v>0</v>
      </c>
      <c r="G35" s="14" t="e">
        <f t="shared" si="0"/>
        <v>#DIV/0!</v>
      </c>
      <c r="H35" s="14">
        <v>0</v>
      </c>
      <c r="I35" s="14" t="e">
        <f t="shared" si="1"/>
        <v>#DIV/0!</v>
      </c>
    </row>
    <row r="36" spans="5:9" x14ac:dyDescent="0.2">
      <c r="E36" s="80" t="s">
        <v>35</v>
      </c>
      <c r="F36" s="13">
        <v>0</v>
      </c>
      <c r="G36" s="14" t="e">
        <f t="shared" si="0"/>
        <v>#DIV/0!</v>
      </c>
      <c r="H36" s="14">
        <v>0</v>
      </c>
      <c r="I36" s="14" t="e">
        <f t="shared" si="1"/>
        <v>#DIV/0!</v>
      </c>
    </row>
    <row r="37" spans="5:9" x14ac:dyDescent="0.2">
      <c r="E37" s="80" t="s">
        <v>36</v>
      </c>
      <c r="F37" s="13">
        <v>0</v>
      </c>
      <c r="G37" s="14" t="e">
        <f t="shared" si="0"/>
        <v>#DIV/0!</v>
      </c>
      <c r="H37" s="14">
        <v>0</v>
      </c>
      <c r="I37" s="14" t="e">
        <f t="shared" si="1"/>
        <v>#DIV/0!</v>
      </c>
    </row>
    <row r="38" spans="5:9" x14ac:dyDescent="0.2">
      <c r="E38" s="80" t="s">
        <v>37</v>
      </c>
      <c r="F38" s="13">
        <v>0</v>
      </c>
      <c r="G38" s="14" t="e">
        <f t="shared" si="0"/>
        <v>#DIV/0!</v>
      </c>
      <c r="H38" s="14">
        <v>0</v>
      </c>
      <c r="I38" s="14" t="e">
        <f t="shared" si="1"/>
        <v>#DIV/0!</v>
      </c>
    </row>
    <row r="39" spans="5:9" x14ac:dyDescent="0.2">
      <c r="E39" s="80" t="s">
        <v>38</v>
      </c>
      <c r="F39" s="13">
        <v>0</v>
      </c>
      <c r="G39" s="14" t="e">
        <f t="shared" si="0"/>
        <v>#DIV/0!</v>
      </c>
      <c r="H39" s="14">
        <v>0</v>
      </c>
      <c r="I39" s="14" t="e">
        <f t="shared" si="1"/>
        <v>#DIV/0!</v>
      </c>
    </row>
    <row r="40" spans="5:9" x14ac:dyDescent="0.2">
      <c r="E40" s="80" t="s">
        <v>39</v>
      </c>
      <c r="F40" s="13">
        <v>0</v>
      </c>
      <c r="G40" s="14" t="e">
        <f t="shared" si="0"/>
        <v>#DIV/0!</v>
      </c>
      <c r="H40" s="14">
        <v>0</v>
      </c>
      <c r="I40" s="14" t="e">
        <f t="shared" si="1"/>
        <v>#DIV/0!</v>
      </c>
    </row>
    <row r="41" spans="5:9" x14ac:dyDescent="0.2">
      <c r="E41" s="80" t="s">
        <v>40</v>
      </c>
      <c r="F41" s="13">
        <v>0</v>
      </c>
      <c r="G41" s="14" t="e">
        <f t="shared" si="0"/>
        <v>#DIV/0!</v>
      </c>
      <c r="H41" s="14">
        <v>0</v>
      </c>
      <c r="I41" s="14" t="e">
        <f t="shared" si="1"/>
        <v>#DIV/0!</v>
      </c>
    </row>
    <row r="42" spans="5:9" x14ac:dyDescent="0.2">
      <c r="E42" s="80" t="s">
        <v>41</v>
      </c>
      <c r="F42" s="13">
        <v>0</v>
      </c>
      <c r="G42" s="14" t="e">
        <f t="shared" si="0"/>
        <v>#DIV/0!</v>
      </c>
      <c r="H42" s="14">
        <v>0</v>
      </c>
      <c r="I42" s="14" t="e">
        <f t="shared" si="1"/>
        <v>#DIV/0!</v>
      </c>
    </row>
    <row r="43" spans="5:9" x14ac:dyDescent="0.2">
      <c r="E43" s="80" t="s">
        <v>42</v>
      </c>
      <c r="F43" s="13">
        <v>0</v>
      </c>
      <c r="G43" s="14" t="e">
        <f t="shared" si="0"/>
        <v>#DIV/0!</v>
      </c>
      <c r="H43" s="14">
        <v>0</v>
      </c>
      <c r="I43" s="14" t="e">
        <f t="shared" si="1"/>
        <v>#DIV/0!</v>
      </c>
    </row>
    <row r="44" spans="5:9" x14ac:dyDescent="0.2">
      <c r="E44" s="80" t="s">
        <v>43</v>
      </c>
      <c r="F44" s="13">
        <v>0</v>
      </c>
      <c r="G44" s="14" t="e">
        <f t="shared" si="0"/>
        <v>#DIV/0!</v>
      </c>
      <c r="H44" s="14">
        <v>0</v>
      </c>
      <c r="I44" s="14" t="e">
        <f t="shared" si="1"/>
        <v>#DIV/0!</v>
      </c>
    </row>
    <row r="45" spans="5:9" x14ac:dyDescent="0.2">
      <c r="E45" s="80" t="s">
        <v>44</v>
      </c>
      <c r="F45" s="13">
        <v>0</v>
      </c>
      <c r="G45" s="14" t="e">
        <f t="shared" si="0"/>
        <v>#DIV/0!</v>
      </c>
      <c r="H45" s="14">
        <v>0</v>
      </c>
      <c r="I45" s="14" t="e">
        <f t="shared" si="1"/>
        <v>#DIV/0!</v>
      </c>
    </row>
    <row r="46" spans="5:9" x14ac:dyDescent="0.2">
      <c r="E46" s="80" t="s">
        <v>45</v>
      </c>
      <c r="F46" s="13">
        <v>0</v>
      </c>
      <c r="G46" s="14" t="e">
        <f t="shared" si="0"/>
        <v>#DIV/0!</v>
      </c>
      <c r="H46" s="14">
        <v>0</v>
      </c>
      <c r="I46" s="14" t="e">
        <f t="shared" si="1"/>
        <v>#DIV/0!</v>
      </c>
    </row>
    <row r="47" spans="5:9" x14ac:dyDescent="0.2">
      <c r="E47" s="80" t="s">
        <v>46</v>
      </c>
      <c r="F47" s="13">
        <v>0</v>
      </c>
      <c r="G47" s="14" t="e">
        <f t="shared" si="0"/>
        <v>#DIV/0!</v>
      </c>
      <c r="H47" s="14">
        <v>0</v>
      </c>
      <c r="I47" s="14" t="e">
        <f t="shared" si="1"/>
        <v>#DIV/0!</v>
      </c>
    </row>
    <row r="48" spans="5:9" x14ac:dyDescent="0.2">
      <c r="E48" s="80" t="s">
        <v>47</v>
      </c>
      <c r="F48" s="13">
        <v>0</v>
      </c>
      <c r="G48" s="14" t="e">
        <f t="shared" si="0"/>
        <v>#DIV/0!</v>
      </c>
      <c r="H48" s="14">
        <v>0</v>
      </c>
      <c r="I48" s="14" t="e">
        <f t="shared" si="1"/>
        <v>#DIV/0!</v>
      </c>
    </row>
    <row r="49" spans="5:9" x14ac:dyDescent="0.2">
      <c r="E49" s="80" t="s">
        <v>48</v>
      </c>
      <c r="F49" s="13">
        <v>0</v>
      </c>
      <c r="G49" s="14" t="e">
        <f t="shared" si="0"/>
        <v>#DIV/0!</v>
      </c>
      <c r="H49" s="14">
        <v>0</v>
      </c>
      <c r="I49" s="14" t="e">
        <f t="shared" si="1"/>
        <v>#DIV/0!</v>
      </c>
    </row>
    <row r="50" spans="5:9" x14ac:dyDescent="0.2">
      <c r="E50" s="80" t="s">
        <v>49</v>
      </c>
      <c r="F50" s="13">
        <v>0</v>
      </c>
      <c r="G50" s="14" t="e">
        <f t="shared" si="0"/>
        <v>#DIV/0!</v>
      </c>
      <c r="H50" s="14">
        <v>0</v>
      </c>
      <c r="I50" s="14" t="e">
        <f t="shared" si="1"/>
        <v>#DIV/0!</v>
      </c>
    </row>
    <row r="51" spans="5:9" x14ac:dyDescent="0.2">
      <c r="E51" s="80" t="s">
        <v>50</v>
      </c>
      <c r="F51" s="13">
        <v>0</v>
      </c>
      <c r="G51" s="14" t="e">
        <f t="shared" si="0"/>
        <v>#DIV/0!</v>
      </c>
      <c r="H51" s="14">
        <v>0</v>
      </c>
      <c r="I51" s="14" t="e">
        <f t="shared" si="1"/>
        <v>#DIV/0!</v>
      </c>
    </row>
    <row r="52" spans="5:9" x14ac:dyDescent="0.2">
      <c r="E52" s="80" t="s">
        <v>51</v>
      </c>
      <c r="F52" s="13">
        <v>0</v>
      </c>
      <c r="G52" s="14" t="e">
        <f t="shared" si="0"/>
        <v>#DIV/0!</v>
      </c>
      <c r="H52" s="14">
        <v>0</v>
      </c>
      <c r="I52" s="14" t="e">
        <f t="shared" si="1"/>
        <v>#DIV/0!</v>
      </c>
    </row>
    <row r="53" spans="5:9" x14ac:dyDescent="0.2">
      <c r="E53" s="80" t="s">
        <v>52</v>
      </c>
      <c r="F53" s="13">
        <v>0</v>
      </c>
      <c r="G53" s="14" t="e">
        <f t="shared" si="0"/>
        <v>#DIV/0!</v>
      </c>
      <c r="H53" s="14">
        <v>0</v>
      </c>
      <c r="I53" s="14" t="e">
        <f t="shared" si="1"/>
        <v>#DIV/0!</v>
      </c>
    </row>
    <row r="54" spans="5:9" x14ac:dyDescent="0.2">
      <c r="E54" s="82"/>
      <c r="F54" s="9"/>
      <c r="G54" s="6"/>
      <c r="H54" s="6"/>
      <c r="I54" s="6"/>
    </row>
    <row r="55" spans="5:9" x14ac:dyDescent="0.2">
      <c r="E55" s="81" t="s">
        <v>63</v>
      </c>
      <c r="F55" s="7">
        <f>SUM(F4:F53)</f>
        <v>0</v>
      </c>
      <c r="G55" s="12" t="s">
        <v>64</v>
      </c>
      <c r="H55" s="8">
        <f>SUM(H4:H53)</f>
        <v>0</v>
      </c>
      <c r="I55" s="10"/>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Tuto-Import</vt:lpstr>
      <vt:lpstr>Tuto-Export</vt:lpstr>
      <vt:lpstr>Accueil</vt:lpstr>
      <vt:lpstr>Trajets</vt:lpstr>
      <vt:lpstr>Donnees-Recap</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Perso</cp:lastModifiedBy>
  <dcterms:created xsi:type="dcterms:W3CDTF">2016-07-02T15:54:45Z</dcterms:created>
  <dcterms:modified xsi:type="dcterms:W3CDTF">2023-11-15T15:07:34Z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2020-12-07T09:06:27Z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
  </property>
  <property fmtid="{D5CDD505-2E9C-101B-9397-08002B2CF9AE}" pid="8" name="MSIP_Label_2fd53d93-3f4c-4b90-b511-bd6bdbb4fba9_ContentBits">
    <vt:lpwstr>0</vt:lpwstr>
  </property>
</Properties>
</file>